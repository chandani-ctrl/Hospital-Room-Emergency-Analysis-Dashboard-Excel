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1dc52a7e9d1c1d96/Desktop/Dashboard/Excel/Hospital Emergency Room/"/>
    </mc:Choice>
  </mc:AlternateContent>
  <xr:revisionPtr revIDLastSave="58" documentId="8_{9C81266F-FEC7-4D5A-AA9C-B0A91CAC2644}" xr6:coauthVersionLast="47" xr6:coauthVersionMax="47" xr10:uidLastSave="{7E740ABF-E892-42AB-A0E4-2367437B39C1}"/>
  <bookViews>
    <workbookView xWindow="-108" yWindow="-108" windowWidth="23256" windowHeight="12456" activeTab="4" xr2:uid="{91D494B5-03AB-4440-92A5-E2C78BA7CAE0}"/>
  </bookViews>
  <sheets>
    <sheet name="Pivot Report" sheetId="1" r:id="rId1"/>
    <sheet name="Daily ER No. of patients" sheetId="3" r:id="rId2"/>
    <sheet name="Dashboard" sheetId="2" r:id="rId3"/>
    <sheet name="Average satisfaction score" sheetId="5" r:id="rId4"/>
    <sheet name="Average Wait Time" sheetId="4"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R_Data_e2b5511c-ff21-48d4-9d96-04074da2754b" name="Hospital ER_Data" connection="Query - Hospital ER_Data"/>
          <x15:modelTable id="Calender_Table_c467ac06-92da-4cbc-b24f-3a6a12840d84" name="Calender_Table" connection="Query - Calender_Table"/>
        </x15:modelTables>
        <x15:modelRelationships>
          <x15:modelRelationship fromTable="Hospital ER_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1" i="1" l="1"/>
  <c r="C52" i="1"/>
  <c r="B51" i="1"/>
  <c r="B52" i="1"/>
  <c r="A51" i="1"/>
  <c r="A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FF8D34-F260-4338-89E6-359E54EF9B55}" name="Query - Calender_Table" description="Connection to the 'Calender_Table' query in the workbook." type="100" refreshedVersion="8" minRefreshableVersion="5">
    <extLst>
      <ext xmlns:x15="http://schemas.microsoft.com/office/spreadsheetml/2010/11/main" uri="{DE250136-89BD-433C-8126-D09CA5730AF9}">
        <x15:connection id="57cf7f6f-0aba-445a-adee-745726167dd3"/>
      </ext>
    </extLst>
  </connection>
  <connection id="2" xr16:uid="{E49BB357-F54D-438D-A17D-87103DA6AC28}" name="Query - Hospital ER_Data" description="Connection to the 'Hospital ER_Data' query in the workbook." type="100" refreshedVersion="8" minRefreshableVersion="5">
    <extLst>
      <ext xmlns:x15="http://schemas.microsoft.com/office/spreadsheetml/2010/11/main" uri="{DE250136-89BD-433C-8126-D09CA5730AF9}">
        <x15:connection id="9de16d88-1f49-4e3c-9462-712e5df94999"/>
      </ext>
    </extLst>
  </connection>
  <connection id="3" xr16:uid="{F9F77C8C-F833-4F09-80B4-1506328CA6C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<sst xmlns="http://schemas.openxmlformats.org/spreadsheetml/2006/main" count="158" uniqueCount="78">
  <si>
    <t>Count of Patient Id</t>
  </si>
  <si>
    <t>Distinct Count of Patient Id</t>
  </si>
  <si>
    <t>number of patient</t>
  </si>
  <si>
    <t>Average of Patient Waittime</t>
  </si>
  <si>
    <t>Average of Patient Satisfaction Score</t>
  </si>
  <si>
    <t>Row Labels</t>
  </si>
  <si>
    <t>Grand Total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</si>
  <si>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</si>
  <si>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</si>
  <si>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</si>
  <si>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</si>
  <si>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</si>
  <si>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</si>
  <si>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</si>
  <si>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</si>
  <si>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</si>
  <si>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</si>
  <si>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</si>
  <si>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</si>
  <si>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</si>
  <si>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</si>
  <si>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</si>
  <si>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</si>
  <si>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</si>
  <si>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</si>
  <si>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</si>
  <si>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</si>
  <si>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</si>
  <si>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</si>
  <si>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</si>
  <si>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</si>
  <si>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</si>
  <si>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</si>
  <si>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</si>
  <si>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</si>
  <si>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</si>
  <si>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</si>
  <si>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</si>
  <si>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</si>
  <si>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patient id</t>
  </si>
  <si>
    <t>paitent wait time</t>
  </si>
  <si>
    <t>patient satisfaction</t>
  </si>
  <si>
    <t>Count of Patient Admission Flag</t>
  </si>
  <si>
    <t>Admitted</t>
  </si>
  <si>
    <t>Not Admitted</t>
  </si>
  <si>
    <t>Count of Patient Admission Flag2</t>
  </si>
  <si>
    <t>Admission status</t>
  </si>
  <si>
    <t>% status</t>
  </si>
  <si>
    <t>0-9</t>
  </si>
  <si>
    <t>10-19</t>
  </si>
  <si>
    <t>20-29</t>
  </si>
  <si>
    <t>30-39</t>
  </si>
  <si>
    <t>40-49</t>
  </si>
  <si>
    <t>50-59</t>
  </si>
  <si>
    <t>60-69</t>
  </si>
  <si>
    <t>70-79</t>
  </si>
  <si>
    <t>Count of Patient Age</t>
  </si>
  <si>
    <t>coun of patient by age group</t>
  </si>
  <si>
    <t>wait time</t>
  </si>
  <si>
    <t>Delay</t>
  </si>
  <si>
    <t>OnTime</t>
  </si>
  <si>
    <t>Count of Patient Attend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</si>
  <si>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</si>
  <si>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</si>
  <si>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</si>
  <si>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</si>
  <si>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</si>
  <si>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</si>
  <si>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</si>
  <si>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</si>
  <si>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</si>
  <si>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</si>
  <si>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</si>
  <si>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</si>
  <si>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</si>
  <si>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Department referral</t>
  </si>
  <si>
    <t>year</t>
  </si>
  <si>
    <t>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</si>
</sst>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theme="7"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2" fontId="0" fillId="0" borderId="0" xfId="0" applyNumberFormat="1"/>
    <xf numFmtId="0" fontId="0" fillId="2" borderId="0" xfId="0" applyFill="1"/>
    <xf numFmtId="0" fontId="0" fillId="3" borderId="0" xfId="0" applyFill="1"/>
    <xf numFmtId="0" fontId="0" fillId="4" borderId="0" xfId="0" applyFill="1"/>
    <xf numFmtId="0" fontId="0" fillId="0" borderId="0" xfId="0" applyAlignment="1">
      <alignment horizontal="left"/>
    </xf>
    <xf numFmtId="10" fontId="0" fillId="0" borderId="0" xfId="0" applyNumberFormat="1"/>
    <xf numFmtId="1" fontId="0" fillId="0" borderId="0" xfId="0" applyNumberFormat="1"/>
    <xf numFmtId="0" fontId="0" fillId="2" borderId="0" xfId="0" applyFill="1" applyAlignment="1">
      <alignment horizontal="left"/>
    </xf>
    <xf numFmtId="9" fontId="0" fillId="3" borderId="0" xfId="0" applyNumberFormat="1" applyFill="1"/>
  </cellXfs>
  <cellStyles count="1">
    <cellStyle name="Normal" xfId="0" builtinId="0"/>
  </cellStyles>
  <dxfs count="15">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2" formatCode="0.00"/>
    </dxf>
    <dxf>
      <numFmt numFmtId="1" formatCode="0"/>
    </dxf>
    <dxf>
      <numFmt numFmtId="1" formatCode="0"/>
    </dxf>
    <dxf>
      <font>
        <b/>
        <color theme="1"/>
      </font>
      <border>
        <bottom style="thin">
          <color theme="7"/>
        </bottom>
        <vertical/>
        <horizontal/>
      </border>
    </dxf>
    <dxf>
      <font>
        <b/>
        <i val="0"/>
        <sz val="9"/>
        <color theme="1"/>
      </font>
      <fill>
        <patternFill patternType="solid">
          <bgColor theme="7" tint="0.79998168889431442"/>
        </patternFill>
      </fill>
      <border diagonalUp="0" diagonalDown="0">
        <left/>
        <right/>
        <top/>
        <bottom/>
        <vertical/>
        <horizontal/>
      </border>
    </dxf>
    <dxf>
      <font>
        <b/>
        <color theme="1"/>
      </font>
      <border>
        <bottom style="thin">
          <color theme="4"/>
        </bottom>
        <vertical/>
        <horizontal/>
      </border>
    </dxf>
    <dxf>
      <font>
        <b/>
        <i val="0"/>
        <sz val="9"/>
        <color theme="1"/>
      </font>
      <fill>
        <patternFill patternType="solid">
          <fgColor theme="7" tint="0.39994506668294322"/>
          <bgColor theme="7" tint="0.79995117038483843"/>
        </patternFill>
      </fill>
      <border diagonalUp="0" diagonalDown="0">
        <left/>
        <right/>
        <top/>
        <bottom/>
        <vertical/>
        <horizontal/>
      </border>
    </dxf>
  </dxfs>
  <tableStyles count="2" defaultTableStyle="TableStyleMedium2" defaultPivotStyle="PivotStyleLight16">
    <tableStyle name="SlicerStyleLight1 2" pivot="0" table="0" count="10" xr9:uid="{83D9456F-BFAD-453C-9B38-7EF5F85B9630}">
      <tableStyleElement type="wholeTable" dxfId="14"/>
      <tableStyleElement type="headerRow" dxfId="13"/>
    </tableStyle>
    <tableStyle name="SlicerStyleLight4 2" pivot="0" table="0" count="10" xr9:uid="{0DB05E4B-60FD-419C-976F-38215B6BE38B}">
      <tableStyleElement type="wholeTable" dxfId="12"/>
      <tableStyleElement type="headerRow" dxfId="1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Report!PivotTable8</c:name>
    <c:fmtId val="0"/>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F4F3E3-B172-481A-8FB3-6E23E071990D}"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4">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0A9790-D2A9-4029-8036-8F8619BD118C}"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1.242513360528729E-2"/>
          <c:y val="1.343832020997375E-2"/>
          <c:w val="0.44308395055959249"/>
          <c:h val="0.77911646586345384"/>
        </c:manualLayout>
      </c:layout>
      <c:barChart>
        <c:barDir val="bar"/>
        <c:grouping val="clustered"/>
        <c:varyColors val="0"/>
        <c:ser>
          <c:idx val="0"/>
          <c:order val="0"/>
          <c:tx>
            <c:strRef>
              <c:f>'Pivot Report'!$C$45:$C$46</c:f>
              <c:strCache>
                <c:ptCount val="1"/>
                <c:pt idx="0">
                  <c:v>Count of Patient Admission Flag</c:v>
                </c:pt>
              </c:strCache>
            </c:strRef>
          </c:tx>
          <c:spPr>
            <a:solidFill>
              <a:schemeClr val="accent4">
                <a:lumMod val="75000"/>
              </a:schemeClr>
            </a:solidFill>
            <a:ln>
              <a:noFill/>
            </a:ln>
            <a:effectLst/>
          </c:spPr>
          <c:invertIfNegative val="0"/>
          <c:dPt>
            <c:idx val="0"/>
            <c:invertIfNegative val="0"/>
            <c:bubble3D val="0"/>
            <c:extLst>
              <c:ext xmlns:c16="http://schemas.microsoft.com/office/drawing/2014/chart" uri="{C3380CC4-5D6E-409C-BE32-E72D297353CC}">
                <c16:uniqueId val="{00000003-4691-4866-A8A6-AF479A61B6FC}"/>
              </c:ext>
            </c:extLst>
          </c:dPt>
          <c:dPt>
            <c:idx val="1"/>
            <c:invertIfNegative val="0"/>
            <c:bubble3D val="0"/>
            <c:extLst>
              <c:ext xmlns:c16="http://schemas.microsoft.com/office/drawing/2014/chart" uri="{C3380CC4-5D6E-409C-BE32-E72D297353CC}">
                <c16:uniqueId val="{00000004-4691-4866-A8A6-AF479A61B6FC}"/>
              </c:ext>
            </c:extLst>
          </c:dPt>
          <c:dLbls>
            <c:dLbl>
              <c:idx val="0"/>
              <c:tx>
                <c:rich>
                  <a:bodyPr/>
                  <a:lstStyle/>
                  <a:p>
                    <a:fld id="{29F4F3E3-B172-481A-8FB3-6E23E071990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691-4866-A8A6-AF479A61B6FC}"/>
                </c:ext>
              </c:extLst>
            </c:dLbl>
            <c:dLbl>
              <c:idx val="1"/>
              <c:tx>
                <c:rich>
                  <a:bodyPr/>
                  <a:lstStyle/>
                  <a:p>
                    <a:fld id="{6A0A9790-D2A9-4029-8036-8F8619BD118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691-4866-A8A6-AF479A61B6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Report'!$C$45:$C$46</c:f>
              <c:strCache>
                <c:ptCount val="2"/>
                <c:pt idx="0">
                  <c:v>Admitted</c:v>
                </c:pt>
                <c:pt idx="1">
                  <c:v>Not Admitted</c:v>
                </c:pt>
              </c:strCache>
            </c:strRef>
          </c:cat>
          <c:val>
            <c:numRef>
              <c:f>'Pivot Report'!$C$45:$C$46</c:f>
              <c:numCache>
                <c:formatCode>0.00</c:formatCode>
                <c:ptCount val="2"/>
                <c:pt idx="0">
                  <c:v>266</c:v>
                </c:pt>
                <c:pt idx="1">
                  <c:v>222</c:v>
                </c:pt>
              </c:numCache>
            </c:numRef>
          </c:val>
          <c:extLst>
            <c:ext xmlns:c15="http://schemas.microsoft.com/office/drawing/2012/chart" uri="{02D57815-91ED-43cb-92C2-25804820EDAC}">
              <c15:datalabelsRange>
                <c15:f>'Pivot Report'!$C$45:$C$46</c15:f>
                <c15:dlblRangeCache>
                  <c:ptCount val="2"/>
                  <c:pt idx="0">
                    <c:v>54.51%</c:v>
                  </c:pt>
                  <c:pt idx="1">
                    <c:v>45.49%</c:v>
                  </c:pt>
                </c15:dlblRangeCache>
              </c15:datalabelsRange>
            </c:ext>
            <c:ext xmlns:c16="http://schemas.microsoft.com/office/drawing/2014/chart" uri="{C3380CC4-5D6E-409C-BE32-E72D297353CC}">
              <c16:uniqueId val="{00000000-4691-4866-A8A6-AF479A61B6FC}"/>
            </c:ext>
          </c:extLst>
        </c:ser>
        <c:ser>
          <c:idx val="1"/>
          <c:order val="1"/>
          <c:tx>
            <c:strRef>
              <c:f>'Pivot Report'!$C$45:$C$46</c:f>
              <c:strCache>
                <c:ptCount val="1"/>
                <c:pt idx="0">
                  <c:v>Count of Patient Admission Flag2</c:v>
                </c:pt>
              </c:strCache>
            </c:strRef>
          </c:tx>
          <c:spPr>
            <a:solidFill>
              <a:schemeClr val="accent2"/>
            </a:solidFill>
            <a:ln>
              <a:noFill/>
            </a:ln>
            <a:effectLst/>
          </c:spPr>
          <c:invertIfNegative val="0"/>
          <c:cat>
            <c:strRef>
              <c:f>'Pivot Report'!$C$45:$C$46</c:f>
              <c:strCache>
                <c:ptCount val="2"/>
                <c:pt idx="0">
                  <c:v>Admitted</c:v>
                </c:pt>
                <c:pt idx="1">
                  <c:v>Not Admitted</c:v>
                </c:pt>
              </c:strCache>
            </c:strRef>
          </c:cat>
          <c:val>
            <c:numRef>
              <c:f>'Pivot Report'!$C$45:$C$46</c:f>
              <c:numCache>
                <c:formatCode>0.00%</c:formatCode>
                <c:ptCount val="2"/>
                <c:pt idx="0">
                  <c:v>0.54508196721311475</c:v>
                </c:pt>
                <c:pt idx="1">
                  <c:v>0.45491803278688525</c:v>
                </c:pt>
              </c:numCache>
            </c:numRef>
          </c:val>
          <c:extLst>
            <c:ext xmlns:c16="http://schemas.microsoft.com/office/drawing/2014/chart" uri="{C3380CC4-5D6E-409C-BE32-E72D297353CC}">
              <c16:uniqueId val="{00000001-4691-4866-A8A6-AF479A61B6FC}"/>
            </c:ext>
          </c:extLst>
        </c:ser>
        <c:dLbls>
          <c:showLegendKey val="0"/>
          <c:showVal val="0"/>
          <c:showCatName val="0"/>
          <c:showSerName val="0"/>
          <c:showPercent val="0"/>
          <c:showBubbleSize val="0"/>
        </c:dLbls>
        <c:gapWidth val="0"/>
        <c:axId val="1748754991"/>
        <c:axId val="1748755951"/>
      </c:barChart>
      <c:catAx>
        <c:axId val="1748754991"/>
        <c:scaling>
          <c:orientation val="minMax"/>
        </c:scaling>
        <c:delete val="1"/>
        <c:axPos val="l"/>
        <c:numFmt formatCode="General" sourceLinked="1"/>
        <c:majorTickMark val="none"/>
        <c:minorTickMark val="none"/>
        <c:tickLblPos val="nextTo"/>
        <c:crossAx val="1748755951"/>
        <c:crosses val="autoZero"/>
        <c:auto val="1"/>
        <c:lblAlgn val="ctr"/>
        <c:lblOffset val="100"/>
        <c:noMultiLvlLbl val="0"/>
      </c:catAx>
      <c:valAx>
        <c:axId val="1748755951"/>
        <c:scaling>
          <c:orientation val="minMax"/>
        </c:scaling>
        <c:delete val="1"/>
        <c:axPos val="b"/>
        <c:numFmt formatCode="0.00" sourceLinked="1"/>
        <c:majorTickMark val="none"/>
        <c:minorTickMark val="none"/>
        <c:tickLblPos val="nextTo"/>
        <c:crossAx val="174875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Room.xlsx]Pivot Report!PivotTable4</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68696042286171E-2"/>
          <c:y val="2.9112081513828238E-2"/>
          <c:w val="0.93698304603816418"/>
          <c:h val="0.79240077250169061"/>
        </c:manualLayout>
      </c:layout>
      <c:areaChart>
        <c:grouping val="standard"/>
        <c:varyColors val="0"/>
        <c:ser>
          <c:idx val="0"/>
          <c:order val="0"/>
          <c:tx>
            <c:strRef>
              <c:f>'Pivot Report'!$D$4</c:f>
              <c:strCache>
                <c:ptCount val="1"/>
                <c:pt idx="0">
                  <c:v>Total</c:v>
                </c:pt>
              </c:strCache>
            </c:strRef>
          </c:tx>
          <c:spPr>
            <a:pattFill prst="ltUpDiag">
              <a:fgClr>
                <a:schemeClr val="accent4"/>
              </a:fgClr>
              <a:bgClr>
                <a:schemeClr val="accent4">
                  <a:lumMod val="20000"/>
                  <a:lumOff val="80000"/>
                </a:schemeClr>
              </a:bgClr>
            </a:pattFill>
            <a:ln>
              <a:noFill/>
            </a:ln>
            <a:effectLst>
              <a:innerShdw blurRad="114300">
                <a:schemeClr val="accent4"/>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2D4F-438B-A9E9-E59030DC3E0A}"/>
            </c:ext>
          </c:extLst>
        </c:ser>
        <c:dLbls>
          <c:showLegendKey val="0"/>
          <c:showVal val="1"/>
          <c:showCatName val="0"/>
          <c:showSerName val="0"/>
          <c:showPercent val="0"/>
          <c:showBubbleSize val="0"/>
        </c:dLbls>
        <c:axId val="1753467903"/>
        <c:axId val="1753464543"/>
      </c:areaChart>
      <c:catAx>
        <c:axId val="1753467903"/>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53464543"/>
        <c:crosses val="autoZero"/>
        <c:auto val="1"/>
        <c:lblAlgn val="ctr"/>
        <c:lblOffset val="100"/>
        <c:noMultiLvlLbl val="0"/>
      </c:catAx>
      <c:valAx>
        <c:axId val="17534645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534679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Room.xlsx]Pivot Report!PivotTable4</c:name>
    <c:fmtId val="6"/>
  </c:pivotSource>
  <c:chart>
    <c:autoTitleDeleted val="1"/>
    <c:pivotFmts>
      <c:pivotFmt>
        <c:idx val="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89473684210523E-2"/>
          <c:y val="0.1437908496732026"/>
          <c:w val="0.83918128654970758"/>
          <c:h val="0.71241830065359479"/>
        </c:manualLayout>
      </c:layout>
      <c:areaChart>
        <c:grouping val="standard"/>
        <c:varyColors val="0"/>
        <c:ser>
          <c:idx val="0"/>
          <c:order val="0"/>
          <c:tx>
            <c:strRef>
              <c:f>'Pivot Report'!$D$4</c:f>
              <c:strCache>
                <c:ptCount val="1"/>
                <c:pt idx="0">
                  <c:v>Total</c:v>
                </c:pt>
              </c:strCache>
            </c:strRef>
          </c:tx>
          <c:spPr>
            <a:solidFill>
              <a:schemeClr val="accent4"/>
            </a:solidFill>
            <a:ln>
              <a:noFill/>
            </a:ln>
            <a:effectLst/>
          </c:spPr>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78CE-46DA-8432-D53DAB270336}"/>
            </c:ext>
          </c:extLst>
        </c:ser>
        <c:dLbls>
          <c:showLegendKey val="0"/>
          <c:showVal val="0"/>
          <c:showCatName val="0"/>
          <c:showSerName val="0"/>
          <c:showPercent val="0"/>
          <c:showBubbleSize val="0"/>
        </c:dLbls>
        <c:axId val="1753467903"/>
        <c:axId val="1753464543"/>
      </c:areaChart>
      <c:catAx>
        <c:axId val="1753467903"/>
        <c:scaling>
          <c:orientation val="minMax"/>
        </c:scaling>
        <c:delete val="1"/>
        <c:axPos val="b"/>
        <c:numFmt formatCode="General" sourceLinked="1"/>
        <c:majorTickMark val="out"/>
        <c:minorTickMark val="none"/>
        <c:tickLblPos val="nextTo"/>
        <c:crossAx val="1753464543"/>
        <c:crosses val="autoZero"/>
        <c:auto val="1"/>
        <c:lblAlgn val="ctr"/>
        <c:lblOffset val="100"/>
        <c:noMultiLvlLbl val="0"/>
      </c:catAx>
      <c:valAx>
        <c:axId val="1753464543"/>
        <c:scaling>
          <c:orientation val="minMax"/>
        </c:scaling>
        <c:delete val="1"/>
        <c:axPos val="l"/>
        <c:numFmt formatCode="General" sourceLinked="1"/>
        <c:majorTickMark val="none"/>
        <c:minorTickMark val="none"/>
        <c:tickLblPos val="nextTo"/>
        <c:crossAx val="17534679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rgbClr val="FFC000"/>
            </a:solidFill>
            <a:ln>
              <a:noFill/>
            </a:ln>
            <a:effectLst/>
          </c:spPr>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AE21-443C-A6F5-82E7ED83DA02}"/>
            </c:ext>
          </c:extLst>
        </c:ser>
        <c:dLbls>
          <c:showLegendKey val="0"/>
          <c:showVal val="0"/>
          <c:showCatName val="0"/>
          <c:showSerName val="0"/>
          <c:showPercent val="0"/>
          <c:showBubbleSize val="0"/>
        </c:dLbls>
        <c:axId val="1748744431"/>
        <c:axId val="1748734351"/>
      </c:areaChart>
      <c:catAx>
        <c:axId val="1748744431"/>
        <c:scaling>
          <c:orientation val="minMax"/>
        </c:scaling>
        <c:delete val="1"/>
        <c:axPos val="b"/>
        <c:numFmt formatCode="General" sourceLinked="1"/>
        <c:majorTickMark val="out"/>
        <c:minorTickMark val="none"/>
        <c:tickLblPos val="nextTo"/>
        <c:crossAx val="1748734351"/>
        <c:crosses val="autoZero"/>
        <c:auto val="1"/>
        <c:lblAlgn val="ctr"/>
        <c:lblOffset val="100"/>
        <c:noMultiLvlLbl val="0"/>
      </c:catAx>
      <c:valAx>
        <c:axId val="174873435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48744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Room.xlsx]Pivot Report!PivotTable7</c:name>
    <c:fmtId val="5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82703321878554E-3"/>
          <c:y val="6.9264471862277048E-3"/>
          <c:w val="0.93888888888888888"/>
          <c:h val="0.89814814814814814"/>
        </c:manualLayout>
      </c:layout>
      <c:areaChart>
        <c:grouping val="standard"/>
        <c:varyColors val="0"/>
        <c:ser>
          <c:idx val="0"/>
          <c:order val="0"/>
          <c:tx>
            <c:strRef>
              <c:f>'Pivot Report'!$M$4</c:f>
              <c:strCache>
                <c:ptCount val="1"/>
                <c:pt idx="0">
                  <c:v>Total</c:v>
                </c:pt>
              </c:strCache>
            </c:strRef>
          </c:tx>
          <c:spPr>
            <a:solidFill>
              <a:schemeClr val="accent4"/>
            </a:solidFill>
            <a:ln>
              <a:noFill/>
            </a:ln>
            <a:effectLst/>
          </c:spPr>
          <c:cat>
            <c:strRef>
              <c:f>'Pivot Report'!$L$5:$L$36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Report'!$M$5:$M$36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8A27-477A-B015-7A10665A3FFB}"/>
            </c:ext>
          </c:extLst>
        </c:ser>
        <c:dLbls>
          <c:showLegendKey val="0"/>
          <c:showVal val="0"/>
          <c:showCatName val="0"/>
          <c:showSerName val="0"/>
          <c:showPercent val="0"/>
          <c:showBubbleSize val="0"/>
        </c:dLbls>
        <c:axId val="1765794415"/>
        <c:axId val="1765798735"/>
      </c:areaChart>
      <c:catAx>
        <c:axId val="1765794415"/>
        <c:scaling>
          <c:orientation val="minMax"/>
        </c:scaling>
        <c:delete val="1"/>
        <c:axPos val="b"/>
        <c:numFmt formatCode="General" sourceLinked="1"/>
        <c:majorTickMark val="out"/>
        <c:minorTickMark val="none"/>
        <c:tickLblPos val="nextTo"/>
        <c:crossAx val="1765798735"/>
        <c:crosses val="autoZero"/>
        <c:auto val="1"/>
        <c:lblAlgn val="ctr"/>
        <c:lblOffset val="100"/>
        <c:noMultiLvlLbl val="0"/>
      </c:catAx>
      <c:valAx>
        <c:axId val="1765798735"/>
        <c:scaling>
          <c:orientation val="minMax"/>
        </c:scaling>
        <c:delete val="1"/>
        <c:axPos val="l"/>
        <c:numFmt formatCode="0.00" sourceLinked="1"/>
        <c:majorTickMark val="none"/>
        <c:minorTickMark val="none"/>
        <c:tickLblPos val="nextTo"/>
        <c:crossAx val="1765794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0-9</c:v>
                </c:pt>
                <c:pt idx="1">
                  <c:v>10-19</c:v>
                </c:pt>
                <c:pt idx="2">
                  <c:v>20-29</c:v>
                </c:pt>
                <c:pt idx="3">
                  <c:v>30-39</c:v>
                </c:pt>
                <c:pt idx="4">
                  <c:v>40-49</c:v>
                </c:pt>
                <c:pt idx="5">
                  <c:v>50-59</c:v>
                </c:pt>
                <c:pt idx="6">
                  <c:v>60-69</c:v>
                </c:pt>
                <c:pt idx="7">
                  <c:v>70-79</c:v>
                </c:pt>
              </c:strCache>
            </c:strRef>
          </c:cat>
          <c:val>
            <c:numRef>
              <c:f>'Pivot Report'!$B$57:$B$65</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2157-4D7A-983F-DEB5F27B9772}"/>
            </c:ext>
          </c:extLst>
        </c:ser>
        <c:dLbls>
          <c:dLblPos val="outEnd"/>
          <c:showLegendKey val="0"/>
          <c:showVal val="1"/>
          <c:showCatName val="0"/>
          <c:showSerName val="0"/>
          <c:showPercent val="0"/>
          <c:showBubbleSize val="0"/>
        </c:dLbls>
        <c:gapWidth val="99"/>
        <c:overlap val="-15"/>
        <c:axId val="1740695311"/>
        <c:axId val="1740690031"/>
      </c:barChart>
      <c:catAx>
        <c:axId val="174069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crossAx val="1740690031"/>
        <c:crosses val="autoZero"/>
        <c:auto val="1"/>
        <c:lblAlgn val="ctr"/>
        <c:lblOffset val="100"/>
        <c:noMultiLvlLbl val="0"/>
      </c:catAx>
      <c:valAx>
        <c:axId val="1740690031"/>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74069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Report!PivotTable10</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6"/>
        <c:spPr>
          <a:solidFill>
            <a:schemeClr val="accent4">
              <a:lumMod val="7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Report'!$F$56</c:f>
              <c:strCache>
                <c:ptCount val="1"/>
                <c:pt idx="0">
                  <c:v>Total</c:v>
                </c:pt>
              </c:strCache>
            </c:strRef>
          </c:tx>
          <c:dPt>
            <c:idx val="0"/>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57-4343-9AA6-DF5DFD67B55D}"/>
              </c:ext>
            </c:extLst>
          </c:dPt>
          <c:dPt>
            <c:idx val="1"/>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57-4343-9AA6-DF5DFD67B5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Report'!$E$57:$E$59</c:f>
              <c:strCache>
                <c:ptCount val="2"/>
                <c:pt idx="0">
                  <c:v>Delay</c:v>
                </c:pt>
                <c:pt idx="1">
                  <c:v>OnTime</c:v>
                </c:pt>
              </c:strCache>
            </c:strRef>
          </c:cat>
          <c:val>
            <c:numRef>
              <c:f>'Pivot Report'!$F$57:$F$59</c:f>
              <c:numCache>
                <c:formatCode>0</c:formatCode>
                <c:ptCount val="2"/>
                <c:pt idx="0">
                  <c:v>288</c:v>
                </c:pt>
                <c:pt idx="1">
                  <c:v>200</c:v>
                </c:pt>
              </c:numCache>
            </c:numRef>
          </c:val>
          <c:extLst>
            <c:ext xmlns:c16="http://schemas.microsoft.com/office/drawing/2014/chart" uri="{C3380CC4-5D6E-409C-BE32-E72D297353CC}">
              <c16:uniqueId val="{00000004-2F57-4343-9AA6-DF5DFD67B55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1.260623672040995E-2"/>
          <c:w val="0.80242584643474735"/>
          <c:h val="0.11363806796877661"/>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Report!PivotTable11</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C000"/>
          </a:solidFill>
          <a:ln>
            <a:noFill/>
          </a:ln>
          <a:effectLst>
            <a:outerShdw blurRad="254000" sx="102000" sy="102000" algn="ctr" rotWithShape="0">
              <a:prstClr val="black">
                <a:alpha val="20000"/>
              </a:prstClr>
            </a:outerShdw>
          </a:effectLst>
        </c:spPr>
      </c:pivotFmt>
      <c:pivotFmt>
        <c:idx val="6"/>
        <c:spPr>
          <a:solidFill>
            <a:schemeClr val="accent4">
              <a:lumMod val="7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406844106463879"/>
          <c:y val="0.15117054333725527"/>
          <c:w val="0.71136492919373673"/>
          <c:h val="0.71681600144809487"/>
        </c:manualLayout>
      </c:layout>
      <c:doughnutChart>
        <c:varyColors val="1"/>
        <c:ser>
          <c:idx val="0"/>
          <c:order val="0"/>
          <c:tx>
            <c:strRef>
              <c:f>'Pivot Report'!$B$68</c:f>
              <c:strCache>
                <c:ptCount val="1"/>
                <c:pt idx="0">
                  <c:v>Total</c:v>
                </c:pt>
              </c:strCache>
            </c:strRef>
          </c:tx>
          <c:dPt>
            <c:idx val="0"/>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71-40F4-8A52-5D8D97F10B71}"/>
              </c:ext>
            </c:extLst>
          </c:dPt>
          <c:dPt>
            <c:idx val="1"/>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71-40F4-8A52-5D8D97F10B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232</c:v>
                </c:pt>
                <c:pt idx="1">
                  <c:v>256</c:v>
                </c:pt>
              </c:numCache>
            </c:numRef>
          </c:val>
          <c:extLst>
            <c:ext xmlns:c16="http://schemas.microsoft.com/office/drawing/2014/chart" uri="{C3380CC4-5D6E-409C-BE32-E72D297353CC}">
              <c16:uniqueId val="{00000004-5A71-40F4-8A52-5D8D97F10B7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2.1885572288254805E-3"/>
          <c:y val="2.0820888768214318E-2"/>
          <c:w val="0.92196491123020285"/>
          <c:h val="0.1138998628631628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Report!PivotTable12</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92000"/>
            </a:srgbClr>
          </a:solidFill>
          <a:ln w="0">
            <a:solidFill>
              <a:schemeClr val="accent1">
                <a:shade val="1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0">
                    <a:solidFill>
                      <a:schemeClr val="accent1">
                        <a:shade val="1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42863973987052"/>
          <c:y val="5.991268418180401E-2"/>
          <c:w val="0.68971171113732244"/>
          <c:h val="0.88017429193899777"/>
        </c:manualLayout>
      </c:layout>
      <c:barChart>
        <c:barDir val="bar"/>
        <c:grouping val="clustered"/>
        <c:varyColors val="0"/>
        <c:ser>
          <c:idx val="0"/>
          <c:order val="0"/>
          <c:tx>
            <c:strRef>
              <c:f>'Pivot Report'!$B$74</c:f>
              <c:strCache>
                <c:ptCount val="1"/>
                <c:pt idx="0">
                  <c:v>Total</c:v>
                </c:pt>
              </c:strCache>
            </c:strRef>
          </c:tx>
          <c:spPr>
            <a:solidFill>
              <a:srgbClr val="FFC000">
                <a:alpha val="92000"/>
              </a:srgbClr>
            </a:solidFill>
            <a:ln w="0">
              <a:solidFill>
                <a:schemeClr val="accent1">
                  <a:shade val="1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w="0">
                      <a:solidFill>
                        <a:schemeClr val="accent1">
                          <a:shade val="1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Report'!$A$75:$A$83</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Report'!$B$75:$B$83</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0139-40DF-9F85-1802918EFDBB}"/>
            </c:ext>
          </c:extLst>
        </c:ser>
        <c:dLbls>
          <c:dLblPos val="outEnd"/>
          <c:showLegendKey val="0"/>
          <c:showVal val="1"/>
          <c:showCatName val="0"/>
          <c:showSerName val="0"/>
          <c:showPercent val="0"/>
          <c:showBubbleSize val="0"/>
        </c:dLbls>
        <c:gapWidth val="62"/>
        <c:axId val="1748760751"/>
        <c:axId val="1748777551"/>
      </c:barChart>
      <c:catAx>
        <c:axId val="174876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a:solidFill>
                    <a:schemeClr val="accent1">
                      <a:shade val="15000"/>
                    </a:schemeClr>
                  </a:solidFill>
                </a:ln>
                <a:solidFill>
                  <a:schemeClr val="tx1">
                    <a:lumMod val="65000"/>
                    <a:lumOff val="35000"/>
                  </a:schemeClr>
                </a:solidFill>
                <a:latin typeface="+mn-lt"/>
                <a:ea typeface="+mn-ea"/>
                <a:cs typeface="+mn-cs"/>
              </a:defRPr>
            </a:pPr>
            <a:endParaRPr lang="en-US"/>
          </a:p>
        </c:txPr>
        <c:crossAx val="1748777551"/>
        <c:crosses val="autoZero"/>
        <c:auto val="1"/>
        <c:lblAlgn val="ctr"/>
        <c:lblOffset val="100"/>
        <c:noMultiLvlLbl val="0"/>
      </c:catAx>
      <c:valAx>
        <c:axId val="1748777551"/>
        <c:scaling>
          <c:orientation val="minMax"/>
        </c:scaling>
        <c:delete val="1"/>
        <c:axPos val="b"/>
        <c:numFmt formatCode="0" sourceLinked="1"/>
        <c:majorTickMark val="none"/>
        <c:minorTickMark val="none"/>
        <c:tickLblPos val="nextTo"/>
        <c:crossAx val="174876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w="0">
            <a:solidFill>
              <a:schemeClr val="accent1">
                <a:shade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Room.xlsx]Pivot Report!PivotTable7</c:name>
    <c:fmtId val="5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pattFill prst="ltUpDiag">
              <a:fgClr>
                <a:schemeClr val="accent4"/>
              </a:fgClr>
              <a:bgClr>
                <a:schemeClr val="accent4">
                  <a:lumMod val="20000"/>
                  <a:lumOff val="80000"/>
                </a:schemeClr>
              </a:bgClr>
            </a:pattFill>
            <a:ln>
              <a:noFill/>
            </a:ln>
            <a:effectLst>
              <a:innerShdw blurRad="114300">
                <a:schemeClr val="accent4"/>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Report'!$L$5:$L$36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Report'!$M$5:$M$36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52E5-40B3-A26E-6B1E827F5D9F}"/>
            </c:ext>
          </c:extLst>
        </c:ser>
        <c:dLbls>
          <c:showLegendKey val="0"/>
          <c:showVal val="1"/>
          <c:showCatName val="0"/>
          <c:showSerName val="0"/>
          <c:showPercent val="0"/>
          <c:showBubbleSize val="0"/>
        </c:dLbls>
        <c:axId val="1765794415"/>
        <c:axId val="1765798735"/>
      </c:areaChart>
      <c:catAx>
        <c:axId val="176579441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65798735"/>
        <c:crosses val="autoZero"/>
        <c:auto val="1"/>
        <c:lblAlgn val="ctr"/>
        <c:lblOffset val="100"/>
        <c:noMultiLvlLbl val="0"/>
      </c:catAx>
      <c:valAx>
        <c:axId val="176579873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765794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Room.xlsx]Pivot Report!PivotTable6</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pattFill prst="ltUpDiag">
              <a:fgClr>
                <a:schemeClr val="accent4"/>
              </a:fgClr>
              <a:bgClr>
                <a:schemeClr val="accent4">
                  <a:lumMod val="20000"/>
                  <a:lumOff val="80000"/>
                </a:schemeClr>
              </a:bgClr>
            </a:pattFill>
            <a:ln>
              <a:noFill/>
            </a:ln>
            <a:effectLst>
              <a:innerShdw blurRad="114300">
                <a:schemeClr val="accent4"/>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3ED1-4365-994E-567B3DB14D14}"/>
            </c:ext>
          </c:extLst>
        </c:ser>
        <c:dLbls>
          <c:showLegendKey val="0"/>
          <c:showVal val="1"/>
          <c:showCatName val="0"/>
          <c:showSerName val="0"/>
          <c:showPercent val="0"/>
          <c:showBubbleSize val="0"/>
        </c:dLbls>
        <c:axId val="1748744431"/>
        <c:axId val="1748734351"/>
      </c:areaChart>
      <c:catAx>
        <c:axId val="1748744431"/>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48734351"/>
        <c:crosses val="autoZero"/>
        <c:auto val="1"/>
        <c:lblAlgn val="ctr"/>
        <c:lblOffset val="100"/>
        <c:noMultiLvlLbl val="0"/>
      </c:catAx>
      <c:valAx>
        <c:axId val="174873435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748744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1.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hyperlink" Target="#'Average satisfaction score'!A1"/><Relationship Id="rId18" Type="http://schemas.openxmlformats.org/officeDocument/2006/relationships/chart" Target="../charts/chart9.xml"/><Relationship Id="rId3" Type="http://schemas.openxmlformats.org/officeDocument/2006/relationships/image" Target="../media/image5.png"/><Relationship Id="rId21" Type="http://schemas.openxmlformats.org/officeDocument/2006/relationships/image" Target="../media/image13.emf"/><Relationship Id="rId7" Type="http://schemas.openxmlformats.org/officeDocument/2006/relationships/hyperlink" Target="#'Daily ER No. of patients'!A1"/><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4.svg"/><Relationship Id="rId16" Type="http://schemas.openxmlformats.org/officeDocument/2006/relationships/chart" Target="../charts/chart7.xml"/><Relationship Id="rId20" Type="http://schemas.openxmlformats.org/officeDocument/2006/relationships/image" Target="../media/image12.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hyperlink" Target="#'Average Wait Time'!A1"/><Relationship Id="rId5" Type="http://schemas.openxmlformats.org/officeDocument/2006/relationships/image" Target="../media/image7.png"/><Relationship Id="rId15" Type="http://schemas.openxmlformats.org/officeDocument/2006/relationships/chart" Target="../charts/chart6.xml"/><Relationship Id="rId10" Type="http://schemas.openxmlformats.org/officeDocument/2006/relationships/image" Target="../media/image10.svg"/><Relationship Id="rId19" Type="http://schemas.openxmlformats.org/officeDocument/2006/relationships/image" Target="../media/image11.png"/><Relationship Id="rId4" Type="http://schemas.openxmlformats.org/officeDocument/2006/relationships/image" Target="../media/image6.svg"/><Relationship Id="rId9" Type="http://schemas.openxmlformats.org/officeDocument/2006/relationships/image" Target="../media/image9.png"/><Relationship Id="rId1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6.svg"/></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image" Target="../media/image17.svg"/><Relationship Id="rId1"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13</xdr:row>
      <xdr:rowOff>121921</xdr:rowOff>
    </xdr:from>
    <xdr:to>
      <xdr:col>1</xdr:col>
      <xdr:colOff>609600</xdr:colOff>
      <xdr:row>19</xdr:row>
      <xdr:rowOff>83821</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269FD70B-1D92-8E2F-5BDA-2B908E233BF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7160" y="2499361"/>
              <a:ext cx="153162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830580</xdr:colOff>
      <xdr:row>49</xdr:row>
      <xdr:rowOff>129540</xdr:rowOff>
    </xdr:from>
    <xdr:to>
      <xdr:col>6</xdr:col>
      <xdr:colOff>411480</xdr:colOff>
      <xdr:row>52</xdr:row>
      <xdr:rowOff>76200</xdr:rowOff>
    </xdr:to>
    <xdr:graphicFrame macro="">
      <xdr:nvGraphicFramePr>
        <xdr:cNvPr id="9" name="Chart 8">
          <a:extLst>
            <a:ext uri="{FF2B5EF4-FFF2-40B4-BE49-F238E27FC236}">
              <a16:creationId xmlns:a16="http://schemas.microsoft.com/office/drawing/2014/main" id="{F29568BA-9D71-33CA-F8C1-B1B49862E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487680</xdr:colOff>
      <xdr:row>71</xdr:row>
      <xdr:rowOff>0</xdr:rowOff>
    </xdr:from>
    <xdr:to>
      <xdr:col>9</xdr:col>
      <xdr:colOff>487680</xdr:colOff>
      <xdr:row>84</xdr:row>
      <xdr:rowOff>89535</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EAFBE3A8-BFAE-7E0B-96AF-232D0110527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875020" y="12984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15240</xdr:rowOff>
    </xdr:from>
    <xdr:to>
      <xdr:col>18</xdr:col>
      <xdr:colOff>243840</xdr:colOff>
      <xdr:row>22</xdr:row>
      <xdr:rowOff>121920</xdr:rowOff>
    </xdr:to>
    <xdr:graphicFrame macro="">
      <xdr:nvGraphicFramePr>
        <xdr:cNvPr id="2" name="Chart 1">
          <a:extLst>
            <a:ext uri="{FF2B5EF4-FFF2-40B4-BE49-F238E27FC236}">
              <a16:creationId xmlns:a16="http://schemas.microsoft.com/office/drawing/2014/main" id="{DE179DC2-5A3D-453E-BDC8-659B62874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23</xdr:row>
      <xdr:rowOff>53340</xdr:rowOff>
    </xdr:from>
    <xdr:to>
      <xdr:col>18</xdr:col>
      <xdr:colOff>38100</xdr:colOff>
      <xdr:row>25</xdr:row>
      <xdr:rowOff>53340</xdr:rowOff>
    </xdr:to>
    <xdr:sp macro="" textlink="">
      <xdr:nvSpPr>
        <xdr:cNvPr id="3" name="TextBox 2">
          <a:extLst>
            <a:ext uri="{FF2B5EF4-FFF2-40B4-BE49-F238E27FC236}">
              <a16:creationId xmlns:a16="http://schemas.microsoft.com/office/drawing/2014/main" id="{65BAC57C-4391-66FB-5697-47D46E470D4F}"/>
            </a:ext>
          </a:extLst>
        </xdr:cNvPr>
        <xdr:cNvSpPr txBox="1"/>
      </xdr:nvSpPr>
      <xdr:spPr>
        <a:xfrm>
          <a:off x="30480" y="4259580"/>
          <a:ext cx="109804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show  a daily trend with an area sparkline</a:t>
          </a:r>
          <a:r>
            <a:rPr lang="en-IN" sz="1100" baseline="0"/>
            <a:t> to spot pattern like busy day or seasonal trends</a:t>
          </a:r>
          <a:endParaRPr lang="en-IN"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0.00695</cdr:x>
      <cdr:y>0.00369</cdr:y>
    </cdr:from>
    <cdr:to>
      <cdr:x>0.04748</cdr:x>
      <cdr:y>0.10332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63CFAB0-BDBE-2914-5CAA-FB799E598B9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6200" y="15240"/>
          <a:ext cx="444437" cy="41148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99060</xdr:colOff>
      <xdr:row>0</xdr:row>
      <xdr:rowOff>114300</xdr:rowOff>
    </xdr:from>
    <xdr:to>
      <xdr:col>6</xdr:col>
      <xdr:colOff>533400</xdr:colOff>
      <xdr:row>4</xdr:row>
      <xdr:rowOff>68580</xdr:rowOff>
    </xdr:to>
    <xdr:sp macro="" textlink="">
      <xdr:nvSpPr>
        <xdr:cNvPr id="2" name="Rectangle: Rounded Corners 1">
          <a:extLst>
            <a:ext uri="{FF2B5EF4-FFF2-40B4-BE49-F238E27FC236}">
              <a16:creationId xmlns:a16="http://schemas.microsoft.com/office/drawing/2014/main" id="{8FDC5D80-7098-597F-260C-1CCB82A1C9FF}"/>
            </a:ext>
          </a:extLst>
        </xdr:cNvPr>
        <xdr:cNvSpPr/>
      </xdr:nvSpPr>
      <xdr:spPr>
        <a:xfrm>
          <a:off x="99060" y="114300"/>
          <a:ext cx="4091940" cy="68580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68580</xdr:colOff>
      <xdr:row>0</xdr:row>
      <xdr:rowOff>129540</xdr:rowOff>
    </xdr:from>
    <xdr:to>
      <xdr:col>9</xdr:col>
      <xdr:colOff>533400</xdr:colOff>
      <xdr:row>4</xdr:row>
      <xdr:rowOff>76200</xdr:rowOff>
    </xdr:to>
    <xdr:sp macro="" textlink="">
      <xdr:nvSpPr>
        <xdr:cNvPr id="5" name="Rectangle: Rounded Corners 4">
          <a:extLst>
            <a:ext uri="{FF2B5EF4-FFF2-40B4-BE49-F238E27FC236}">
              <a16:creationId xmlns:a16="http://schemas.microsoft.com/office/drawing/2014/main" id="{BD9DD132-91AB-44F8-B1FD-8A4ECCA643D9}"/>
            </a:ext>
          </a:extLst>
        </xdr:cNvPr>
        <xdr:cNvSpPr/>
      </xdr:nvSpPr>
      <xdr:spPr>
        <a:xfrm>
          <a:off x="4335780" y="129540"/>
          <a:ext cx="1684020" cy="67818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45720</xdr:colOff>
      <xdr:row>0</xdr:row>
      <xdr:rowOff>129540</xdr:rowOff>
    </xdr:from>
    <xdr:to>
      <xdr:col>13</xdr:col>
      <xdr:colOff>205740</xdr:colOff>
      <xdr:row>11</xdr:row>
      <xdr:rowOff>22860</xdr:rowOff>
    </xdr:to>
    <xdr:sp macro="" textlink="">
      <xdr:nvSpPr>
        <xdr:cNvPr id="6" name="Rectangle: Rounded Corners 5">
          <a:extLst>
            <a:ext uri="{FF2B5EF4-FFF2-40B4-BE49-F238E27FC236}">
              <a16:creationId xmlns:a16="http://schemas.microsoft.com/office/drawing/2014/main" id="{BDEA04C0-2FF1-4DF8-BE94-31042769B6BE}"/>
            </a:ext>
          </a:extLst>
        </xdr:cNvPr>
        <xdr:cNvSpPr/>
      </xdr:nvSpPr>
      <xdr:spPr>
        <a:xfrm>
          <a:off x="6141720" y="129540"/>
          <a:ext cx="1988820" cy="190500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304800</xdr:colOff>
      <xdr:row>0</xdr:row>
      <xdr:rowOff>121920</xdr:rowOff>
    </xdr:from>
    <xdr:to>
      <xdr:col>16</xdr:col>
      <xdr:colOff>426720</xdr:colOff>
      <xdr:row>11</xdr:row>
      <xdr:rowOff>30480</xdr:rowOff>
    </xdr:to>
    <xdr:sp macro="" textlink="">
      <xdr:nvSpPr>
        <xdr:cNvPr id="7" name="Rectangle: Rounded Corners 6">
          <a:extLst>
            <a:ext uri="{FF2B5EF4-FFF2-40B4-BE49-F238E27FC236}">
              <a16:creationId xmlns:a16="http://schemas.microsoft.com/office/drawing/2014/main" id="{513A0758-2390-4BE5-B7CE-3462E817D6F6}"/>
            </a:ext>
          </a:extLst>
        </xdr:cNvPr>
        <xdr:cNvSpPr/>
      </xdr:nvSpPr>
      <xdr:spPr>
        <a:xfrm>
          <a:off x="8229600" y="121920"/>
          <a:ext cx="1950720" cy="192024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5</xdr:row>
      <xdr:rowOff>22860</xdr:rowOff>
    </xdr:from>
    <xdr:to>
      <xdr:col>1</xdr:col>
      <xdr:colOff>335280</xdr:colOff>
      <xdr:row>26</xdr:row>
      <xdr:rowOff>68580</xdr:rowOff>
    </xdr:to>
    <xdr:sp macro="" textlink="">
      <xdr:nvSpPr>
        <xdr:cNvPr id="8" name="Rectangle: Rounded Corners 7">
          <a:extLst>
            <a:ext uri="{FF2B5EF4-FFF2-40B4-BE49-F238E27FC236}">
              <a16:creationId xmlns:a16="http://schemas.microsoft.com/office/drawing/2014/main" id="{03C600FA-03C3-4BE3-B8E1-B19AE2069145}"/>
            </a:ext>
          </a:extLst>
        </xdr:cNvPr>
        <xdr:cNvSpPr/>
      </xdr:nvSpPr>
      <xdr:spPr>
        <a:xfrm>
          <a:off x="106680" y="937260"/>
          <a:ext cx="838200" cy="388620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68580</xdr:colOff>
      <xdr:row>5</xdr:row>
      <xdr:rowOff>7620</xdr:rowOff>
    </xdr:from>
    <xdr:to>
      <xdr:col>9</xdr:col>
      <xdr:colOff>495300</xdr:colOff>
      <xdr:row>11</xdr:row>
      <xdr:rowOff>15240</xdr:rowOff>
    </xdr:to>
    <xdr:sp macro="" textlink="">
      <xdr:nvSpPr>
        <xdr:cNvPr id="10" name="Rectangle: Rounded Corners 9">
          <a:extLst>
            <a:ext uri="{FF2B5EF4-FFF2-40B4-BE49-F238E27FC236}">
              <a16:creationId xmlns:a16="http://schemas.microsoft.com/office/drawing/2014/main" id="{2047C4E0-7EF7-4787-A398-9EBEBF147EF2}"/>
            </a:ext>
          </a:extLst>
        </xdr:cNvPr>
        <xdr:cNvSpPr/>
      </xdr:nvSpPr>
      <xdr:spPr>
        <a:xfrm>
          <a:off x="4335780" y="922020"/>
          <a:ext cx="1645920" cy="110490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464820</xdr:colOff>
      <xdr:row>5</xdr:row>
      <xdr:rowOff>22860</xdr:rowOff>
    </xdr:from>
    <xdr:to>
      <xdr:col>4</xdr:col>
      <xdr:colOff>190500</xdr:colOff>
      <xdr:row>11</xdr:row>
      <xdr:rowOff>7620</xdr:rowOff>
    </xdr:to>
    <xdr:sp macro="" textlink="">
      <xdr:nvSpPr>
        <xdr:cNvPr id="9" name="Rectangle: Rounded Corners 8">
          <a:extLst>
            <a:ext uri="{FF2B5EF4-FFF2-40B4-BE49-F238E27FC236}">
              <a16:creationId xmlns:a16="http://schemas.microsoft.com/office/drawing/2014/main" id="{3C811F0A-FA1E-4D53-A364-FEBCFC139CFD}"/>
            </a:ext>
          </a:extLst>
        </xdr:cNvPr>
        <xdr:cNvSpPr/>
      </xdr:nvSpPr>
      <xdr:spPr>
        <a:xfrm>
          <a:off x="1074420" y="937260"/>
          <a:ext cx="1554480" cy="108204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274320</xdr:colOff>
      <xdr:row>5</xdr:row>
      <xdr:rowOff>22860</xdr:rowOff>
    </xdr:from>
    <xdr:to>
      <xdr:col>6</xdr:col>
      <xdr:colOff>594360</xdr:colOff>
      <xdr:row>11</xdr:row>
      <xdr:rowOff>15240</xdr:rowOff>
    </xdr:to>
    <xdr:sp macro="" textlink="">
      <xdr:nvSpPr>
        <xdr:cNvPr id="11" name="Rectangle: Rounded Corners 10">
          <a:extLst>
            <a:ext uri="{FF2B5EF4-FFF2-40B4-BE49-F238E27FC236}">
              <a16:creationId xmlns:a16="http://schemas.microsoft.com/office/drawing/2014/main" id="{D4952D77-59DF-4686-8D2E-F8B754DDCD74}"/>
            </a:ext>
          </a:extLst>
        </xdr:cNvPr>
        <xdr:cNvSpPr/>
      </xdr:nvSpPr>
      <xdr:spPr>
        <a:xfrm>
          <a:off x="2712720" y="937260"/>
          <a:ext cx="1539240" cy="108966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457200</xdr:colOff>
      <xdr:row>11</xdr:row>
      <xdr:rowOff>167640</xdr:rowOff>
    </xdr:from>
    <xdr:to>
      <xdr:col>9</xdr:col>
      <xdr:colOff>556260</xdr:colOff>
      <xdr:row>16</xdr:row>
      <xdr:rowOff>106680</xdr:rowOff>
    </xdr:to>
    <xdr:sp macro="" textlink="">
      <xdr:nvSpPr>
        <xdr:cNvPr id="12" name="Rectangle: Rounded Corners 11">
          <a:extLst>
            <a:ext uri="{FF2B5EF4-FFF2-40B4-BE49-F238E27FC236}">
              <a16:creationId xmlns:a16="http://schemas.microsoft.com/office/drawing/2014/main" id="{B1EDD7D4-BAA2-4289-BA3E-FBB8FABA1C08}"/>
            </a:ext>
          </a:extLst>
        </xdr:cNvPr>
        <xdr:cNvSpPr/>
      </xdr:nvSpPr>
      <xdr:spPr>
        <a:xfrm>
          <a:off x="1066800" y="2179320"/>
          <a:ext cx="4975860" cy="85344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464820</xdr:colOff>
      <xdr:row>17</xdr:row>
      <xdr:rowOff>83820</xdr:rowOff>
    </xdr:from>
    <xdr:to>
      <xdr:col>9</xdr:col>
      <xdr:colOff>541020</xdr:colOff>
      <xdr:row>26</xdr:row>
      <xdr:rowOff>99060</xdr:rowOff>
    </xdr:to>
    <xdr:sp macro="" textlink="">
      <xdr:nvSpPr>
        <xdr:cNvPr id="13" name="Rectangle: Rounded Corners 12">
          <a:extLst>
            <a:ext uri="{FF2B5EF4-FFF2-40B4-BE49-F238E27FC236}">
              <a16:creationId xmlns:a16="http://schemas.microsoft.com/office/drawing/2014/main" id="{4DC8CDAA-CCBB-4C60-A4A1-E62077B7D173}"/>
            </a:ext>
          </a:extLst>
        </xdr:cNvPr>
        <xdr:cNvSpPr/>
      </xdr:nvSpPr>
      <xdr:spPr>
        <a:xfrm>
          <a:off x="1074420" y="3192780"/>
          <a:ext cx="4953000" cy="166116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hade val="15000"/>
                </a:schemeClr>
              </a:solidFill>
            </a:ln>
            <a:solidFill>
              <a:schemeClr val="lt1"/>
            </a:solidFill>
          </a:endParaRPr>
        </a:p>
      </xdr:txBody>
    </xdr:sp>
    <xdr:clientData/>
  </xdr:twoCellAnchor>
  <xdr:twoCellAnchor>
    <xdr:from>
      <xdr:col>10</xdr:col>
      <xdr:colOff>30480</xdr:colOff>
      <xdr:row>11</xdr:row>
      <xdr:rowOff>160020</xdr:rowOff>
    </xdr:from>
    <xdr:to>
      <xdr:col>16</xdr:col>
      <xdr:colOff>411480</xdr:colOff>
      <xdr:row>26</xdr:row>
      <xdr:rowOff>99060</xdr:rowOff>
    </xdr:to>
    <xdr:sp macro="" textlink="">
      <xdr:nvSpPr>
        <xdr:cNvPr id="14" name="Rectangle: Rounded Corners 13">
          <a:extLst>
            <a:ext uri="{FF2B5EF4-FFF2-40B4-BE49-F238E27FC236}">
              <a16:creationId xmlns:a16="http://schemas.microsoft.com/office/drawing/2014/main" id="{42CF640D-89E0-42C5-B48D-09A558FD08DC}"/>
            </a:ext>
          </a:extLst>
        </xdr:cNvPr>
        <xdr:cNvSpPr/>
      </xdr:nvSpPr>
      <xdr:spPr>
        <a:xfrm>
          <a:off x="6126480" y="2171700"/>
          <a:ext cx="4038600" cy="2682240"/>
        </a:xfrm>
        <a:prstGeom prst="roundRect">
          <a:avLst>
            <a:gd name="adj" fmla="val 952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289560</xdr:colOff>
      <xdr:row>1</xdr:row>
      <xdr:rowOff>7620</xdr:rowOff>
    </xdr:from>
    <xdr:to>
      <xdr:col>6</xdr:col>
      <xdr:colOff>495300</xdr:colOff>
      <xdr:row>2</xdr:row>
      <xdr:rowOff>121920</xdr:rowOff>
    </xdr:to>
    <xdr:sp macro="" textlink="">
      <xdr:nvSpPr>
        <xdr:cNvPr id="15" name="TextBox 14">
          <a:extLst>
            <a:ext uri="{FF2B5EF4-FFF2-40B4-BE49-F238E27FC236}">
              <a16:creationId xmlns:a16="http://schemas.microsoft.com/office/drawing/2014/main" id="{B8408639-762A-FB01-F2AF-A1520B5CAC02}"/>
            </a:ext>
          </a:extLst>
        </xdr:cNvPr>
        <xdr:cNvSpPr txBox="1"/>
      </xdr:nvSpPr>
      <xdr:spPr>
        <a:xfrm>
          <a:off x="899160" y="190500"/>
          <a:ext cx="3253740" cy="29718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Hospital</a:t>
          </a:r>
          <a:r>
            <a:rPr lang="en-IN" sz="1200" b="1" baseline="0"/>
            <a:t> Emergency Room Dashboard</a:t>
          </a:r>
          <a:endParaRPr lang="en-IN" sz="1200" b="1"/>
        </a:p>
      </xdr:txBody>
    </xdr:sp>
    <xdr:clientData/>
  </xdr:twoCellAnchor>
  <xdr:twoCellAnchor>
    <xdr:from>
      <xdr:col>1</xdr:col>
      <xdr:colOff>289560</xdr:colOff>
      <xdr:row>2</xdr:row>
      <xdr:rowOff>60960</xdr:rowOff>
    </xdr:from>
    <xdr:to>
      <xdr:col>6</xdr:col>
      <xdr:colOff>373380</xdr:colOff>
      <xdr:row>4</xdr:row>
      <xdr:rowOff>45720</xdr:rowOff>
    </xdr:to>
    <xdr:sp macro="" textlink="">
      <xdr:nvSpPr>
        <xdr:cNvPr id="16" name="TextBox 15">
          <a:extLst>
            <a:ext uri="{FF2B5EF4-FFF2-40B4-BE49-F238E27FC236}">
              <a16:creationId xmlns:a16="http://schemas.microsoft.com/office/drawing/2014/main" id="{32719619-5E92-42DA-99C7-B19D06CB7074}"/>
            </a:ext>
          </a:extLst>
        </xdr:cNvPr>
        <xdr:cNvSpPr txBox="1"/>
      </xdr:nvSpPr>
      <xdr:spPr>
        <a:xfrm>
          <a:off x="899160" y="426720"/>
          <a:ext cx="3131820" cy="35052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Monthly</a:t>
          </a:r>
          <a:r>
            <a:rPr lang="en-IN" sz="1100" b="1" baseline="0"/>
            <a:t> Report</a:t>
          </a:r>
          <a:endParaRPr lang="en-IN" sz="1100" b="1"/>
        </a:p>
      </xdr:txBody>
    </xdr:sp>
    <xdr:clientData/>
  </xdr:twoCellAnchor>
  <xdr:twoCellAnchor>
    <xdr:from>
      <xdr:col>1</xdr:col>
      <xdr:colOff>502920</xdr:colOff>
      <xdr:row>6</xdr:row>
      <xdr:rowOff>83820</xdr:rowOff>
    </xdr:from>
    <xdr:to>
      <xdr:col>4</xdr:col>
      <xdr:colOff>99060</xdr:colOff>
      <xdr:row>7</xdr:row>
      <xdr:rowOff>175260</xdr:rowOff>
    </xdr:to>
    <xdr:sp macro="" textlink="">
      <xdr:nvSpPr>
        <xdr:cNvPr id="18" name="TextBox 17">
          <a:extLst>
            <a:ext uri="{FF2B5EF4-FFF2-40B4-BE49-F238E27FC236}">
              <a16:creationId xmlns:a16="http://schemas.microsoft.com/office/drawing/2014/main" id="{182CF0B9-EA6B-4F3D-B1DD-A3E759CAC7E4}"/>
            </a:ext>
          </a:extLst>
        </xdr:cNvPr>
        <xdr:cNvSpPr txBox="1"/>
      </xdr:nvSpPr>
      <xdr:spPr>
        <a:xfrm>
          <a:off x="1112520" y="1181100"/>
          <a:ext cx="1424940" cy="27432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baseline="0"/>
            <a:t> </a:t>
          </a:r>
          <a:r>
            <a:rPr lang="en-IN" sz="1200" b="1" baseline="0"/>
            <a:t>No. of patient</a:t>
          </a:r>
          <a:endParaRPr lang="en-IN" sz="1050" b="1"/>
        </a:p>
      </xdr:txBody>
    </xdr:sp>
    <xdr:clientData/>
  </xdr:twoCellAnchor>
  <xdr:twoCellAnchor>
    <xdr:from>
      <xdr:col>1</xdr:col>
      <xdr:colOff>548640</xdr:colOff>
      <xdr:row>5</xdr:row>
      <xdr:rowOff>45720</xdr:rowOff>
    </xdr:from>
    <xdr:to>
      <xdr:col>4</xdr:col>
      <xdr:colOff>144780</xdr:colOff>
      <xdr:row>6</xdr:row>
      <xdr:rowOff>137160</xdr:rowOff>
    </xdr:to>
    <xdr:sp macro="" textlink="'Pivot Report'!A5">
      <xdr:nvSpPr>
        <xdr:cNvPr id="19" name="TextBox 18">
          <a:extLst>
            <a:ext uri="{FF2B5EF4-FFF2-40B4-BE49-F238E27FC236}">
              <a16:creationId xmlns:a16="http://schemas.microsoft.com/office/drawing/2014/main" id="{054D9A81-121A-42C6-8F83-772BDCE7CA74}"/>
            </a:ext>
          </a:extLst>
        </xdr:cNvPr>
        <xdr:cNvSpPr txBox="1"/>
      </xdr:nvSpPr>
      <xdr:spPr>
        <a:xfrm>
          <a:off x="1158240" y="960120"/>
          <a:ext cx="1424940" cy="27432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458F21-BB34-4E76-947A-C85DD6173413}" type="TxLink">
            <a:rPr lang="en-US" sz="1200" b="1" i="0" u="none" strike="noStrike" baseline="0">
              <a:solidFill>
                <a:srgbClr val="000000"/>
              </a:solidFill>
              <a:latin typeface="Calibri"/>
              <a:ea typeface="Calibri"/>
              <a:cs typeface="Calibri"/>
            </a:rPr>
            <a:pPr algn="ctr"/>
            <a:t>488</a:t>
          </a:fld>
          <a:endParaRPr lang="en-IN" sz="1200" b="1"/>
        </a:p>
      </xdr:txBody>
    </xdr:sp>
    <xdr:clientData/>
  </xdr:twoCellAnchor>
  <xdr:twoCellAnchor>
    <xdr:from>
      <xdr:col>7</xdr:col>
      <xdr:colOff>121920</xdr:colOff>
      <xdr:row>6</xdr:row>
      <xdr:rowOff>114300</xdr:rowOff>
    </xdr:from>
    <xdr:to>
      <xdr:col>9</xdr:col>
      <xdr:colOff>419100</xdr:colOff>
      <xdr:row>9</xdr:row>
      <xdr:rowOff>38100</xdr:rowOff>
    </xdr:to>
    <xdr:sp macro="" textlink="">
      <xdr:nvSpPr>
        <xdr:cNvPr id="20" name="TextBox 19">
          <a:extLst>
            <a:ext uri="{FF2B5EF4-FFF2-40B4-BE49-F238E27FC236}">
              <a16:creationId xmlns:a16="http://schemas.microsoft.com/office/drawing/2014/main" id="{60B43221-F407-9D13-FC46-BF56C4085F7B}"/>
            </a:ext>
          </a:extLst>
        </xdr:cNvPr>
        <xdr:cNvSpPr txBox="1"/>
      </xdr:nvSpPr>
      <xdr:spPr>
        <a:xfrm>
          <a:off x="4389120" y="1211580"/>
          <a:ext cx="1516380" cy="47244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baseline="0"/>
            <a:t> </a:t>
          </a:r>
          <a:r>
            <a:rPr lang="en-IN" sz="1200" b="1" baseline="0"/>
            <a:t>Patient Satisfaction score</a:t>
          </a:r>
          <a:endParaRPr lang="en-IN" sz="1050" b="1"/>
        </a:p>
      </xdr:txBody>
    </xdr:sp>
    <xdr:clientData/>
  </xdr:twoCellAnchor>
  <xdr:twoCellAnchor>
    <xdr:from>
      <xdr:col>7</xdr:col>
      <xdr:colOff>160020</xdr:colOff>
      <xdr:row>5</xdr:row>
      <xdr:rowOff>30480</xdr:rowOff>
    </xdr:from>
    <xdr:to>
      <xdr:col>9</xdr:col>
      <xdr:colOff>365760</xdr:colOff>
      <xdr:row>6</xdr:row>
      <xdr:rowOff>121920</xdr:rowOff>
    </xdr:to>
    <xdr:sp macro="" textlink="'Pivot Report'!A13">
      <xdr:nvSpPr>
        <xdr:cNvPr id="21" name="TextBox 20">
          <a:extLst>
            <a:ext uri="{FF2B5EF4-FFF2-40B4-BE49-F238E27FC236}">
              <a16:creationId xmlns:a16="http://schemas.microsoft.com/office/drawing/2014/main" id="{CAAFF6B6-8C84-4142-326A-245B786E320D}"/>
            </a:ext>
          </a:extLst>
        </xdr:cNvPr>
        <xdr:cNvSpPr txBox="1"/>
      </xdr:nvSpPr>
      <xdr:spPr>
        <a:xfrm>
          <a:off x="4427220" y="944880"/>
          <a:ext cx="1424940" cy="27432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D9FDBD-247E-4A82-A146-41DF5B8121A0}" type="TxLink">
            <a:rPr lang="en-US" sz="1200" b="1" i="0" u="none" strike="noStrike" baseline="0">
              <a:solidFill>
                <a:srgbClr val="000000"/>
              </a:solidFill>
              <a:latin typeface="Calibri"/>
              <a:ea typeface="Calibri"/>
              <a:cs typeface="Calibri"/>
            </a:rPr>
            <a:pPr algn="ctr"/>
            <a:t>4.79</a:t>
          </a:fld>
          <a:endParaRPr lang="en-IN" sz="1400" b="1"/>
        </a:p>
      </xdr:txBody>
    </xdr:sp>
    <xdr:clientData/>
  </xdr:twoCellAnchor>
  <xdr:twoCellAnchor>
    <xdr:from>
      <xdr:col>4</xdr:col>
      <xdr:colOff>304800</xdr:colOff>
      <xdr:row>6</xdr:row>
      <xdr:rowOff>114300</xdr:rowOff>
    </xdr:from>
    <xdr:to>
      <xdr:col>6</xdr:col>
      <xdr:colOff>510540</xdr:colOff>
      <xdr:row>8</xdr:row>
      <xdr:rowOff>22860</xdr:rowOff>
    </xdr:to>
    <xdr:sp macro="" textlink="">
      <xdr:nvSpPr>
        <xdr:cNvPr id="22" name="TextBox 21">
          <a:extLst>
            <a:ext uri="{FF2B5EF4-FFF2-40B4-BE49-F238E27FC236}">
              <a16:creationId xmlns:a16="http://schemas.microsoft.com/office/drawing/2014/main" id="{C954704E-38B8-4C4F-80E3-692660365044}"/>
            </a:ext>
          </a:extLst>
        </xdr:cNvPr>
        <xdr:cNvSpPr txBox="1"/>
      </xdr:nvSpPr>
      <xdr:spPr>
        <a:xfrm>
          <a:off x="2743200" y="1211580"/>
          <a:ext cx="1424940" cy="27432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baseline="0"/>
            <a:t> </a:t>
          </a:r>
          <a:r>
            <a:rPr lang="en-IN" sz="1200" b="1" baseline="0"/>
            <a:t>Average wait time</a:t>
          </a:r>
          <a:endParaRPr lang="en-IN" sz="1050" b="1"/>
        </a:p>
      </xdr:txBody>
    </xdr:sp>
    <xdr:clientData/>
  </xdr:twoCellAnchor>
  <xdr:twoCellAnchor>
    <xdr:from>
      <xdr:col>4</xdr:col>
      <xdr:colOff>304800</xdr:colOff>
      <xdr:row>5</xdr:row>
      <xdr:rowOff>53340</xdr:rowOff>
    </xdr:from>
    <xdr:to>
      <xdr:col>6</xdr:col>
      <xdr:colOff>510540</xdr:colOff>
      <xdr:row>6</xdr:row>
      <xdr:rowOff>144780</xdr:rowOff>
    </xdr:to>
    <xdr:sp macro="" textlink="'Pivot Report'!A9">
      <xdr:nvSpPr>
        <xdr:cNvPr id="23" name="TextBox 22">
          <a:extLst>
            <a:ext uri="{FF2B5EF4-FFF2-40B4-BE49-F238E27FC236}">
              <a16:creationId xmlns:a16="http://schemas.microsoft.com/office/drawing/2014/main" id="{ED1B1E41-83FF-4DB2-8BB1-03CA68DFF766}"/>
            </a:ext>
          </a:extLst>
        </xdr:cNvPr>
        <xdr:cNvSpPr txBox="1"/>
      </xdr:nvSpPr>
      <xdr:spPr>
        <a:xfrm>
          <a:off x="2743200" y="967740"/>
          <a:ext cx="1424940" cy="27432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976699-90D7-4134-9F97-65DA848B5AC4}" type="TxLink">
            <a:rPr lang="en-US" sz="1200" b="1" i="0" u="none" strike="noStrike" baseline="0">
              <a:solidFill>
                <a:srgbClr val="000000"/>
              </a:solidFill>
              <a:latin typeface="Calibri"/>
              <a:ea typeface="Calibri"/>
              <a:cs typeface="Calibri"/>
            </a:rPr>
            <a:pPr algn="ctr"/>
            <a:t>35.20</a:t>
          </a:fld>
          <a:endParaRPr lang="en-IN" sz="1400" b="1"/>
        </a:p>
      </xdr:txBody>
    </xdr:sp>
    <xdr:clientData/>
  </xdr:twoCellAnchor>
  <xdr:twoCellAnchor editAs="oneCell">
    <xdr:from>
      <xdr:col>3</xdr:col>
      <xdr:colOff>426720</xdr:colOff>
      <xdr:row>5</xdr:row>
      <xdr:rowOff>45720</xdr:rowOff>
    </xdr:from>
    <xdr:to>
      <xdr:col>4</xdr:col>
      <xdr:colOff>160020</xdr:colOff>
      <xdr:row>7</xdr:row>
      <xdr:rowOff>22860</xdr:rowOff>
    </xdr:to>
    <xdr:pic>
      <xdr:nvPicPr>
        <xdr:cNvPr id="25" name="Graphic 24" descr="Male profile with solid fill">
          <a:extLst>
            <a:ext uri="{FF2B5EF4-FFF2-40B4-BE49-F238E27FC236}">
              <a16:creationId xmlns:a16="http://schemas.microsoft.com/office/drawing/2014/main" id="{3395ACB5-5361-39A5-0CB4-2728FC9E5A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5520" y="960120"/>
          <a:ext cx="342900" cy="342900"/>
        </a:xfrm>
        <a:prstGeom prst="rect">
          <a:avLst/>
        </a:prstGeom>
      </xdr:spPr>
    </xdr:pic>
    <xdr:clientData/>
  </xdr:twoCellAnchor>
  <xdr:twoCellAnchor editAs="oneCell">
    <xdr:from>
      <xdr:col>6</xdr:col>
      <xdr:colOff>256391</xdr:colOff>
      <xdr:row>5</xdr:row>
      <xdr:rowOff>68580</xdr:rowOff>
    </xdr:from>
    <xdr:to>
      <xdr:col>6</xdr:col>
      <xdr:colOff>571500</xdr:colOff>
      <xdr:row>6</xdr:row>
      <xdr:rowOff>175260</xdr:rowOff>
    </xdr:to>
    <xdr:pic>
      <xdr:nvPicPr>
        <xdr:cNvPr id="27" name="Graphic 26" descr="Hourglass Finished with solid fill">
          <a:extLst>
            <a:ext uri="{FF2B5EF4-FFF2-40B4-BE49-F238E27FC236}">
              <a16:creationId xmlns:a16="http://schemas.microsoft.com/office/drawing/2014/main" id="{A6C58DCA-6052-FAD0-B6FD-113712877D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13991" y="982980"/>
          <a:ext cx="315109" cy="289560"/>
        </a:xfrm>
        <a:prstGeom prst="rect">
          <a:avLst/>
        </a:prstGeom>
      </xdr:spPr>
    </xdr:pic>
    <xdr:clientData/>
  </xdr:twoCellAnchor>
  <xdr:twoCellAnchor editAs="oneCell">
    <xdr:from>
      <xdr:col>9</xdr:col>
      <xdr:colOff>152400</xdr:colOff>
      <xdr:row>5</xdr:row>
      <xdr:rowOff>60960</xdr:rowOff>
    </xdr:from>
    <xdr:to>
      <xdr:col>9</xdr:col>
      <xdr:colOff>449580</xdr:colOff>
      <xdr:row>6</xdr:row>
      <xdr:rowOff>175260</xdr:rowOff>
    </xdr:to>
    <xdr:pic>
      <xdr:nvPicPr>
        <xdr:cNvPr id="29" name="Graphic 28" descr="Customer review with solid fill">
          <a:extLst>
            <a:ext uri="{FF2B5EF4-FFF2-40B4-BE49-F238E27FC236}">
              <a16:creationId xmlns:a16="http://schemas.microsoft.com/office/drawing/2014/main" id="{5AAC6D9B-1346-DFA5-CD7D-D95A7F0EC5A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38800" y="975360"/>
          <a:ext cx="297180" cy="297180"/>
        </a:xfrm>
        <a:prstGeom prst="rect">
          <a:avLst/>
        </a:prstGeom>
      </xdr:spPr>
    </xdr:pic>
    <xdr:clientData/>
  </xdr:twoCellAnchor>
  <xdr:twoCellAnchor>
    <xdr:from>
      <xdr:col>1</xdr:col>
      <xdr:colOff>396240</xdr:colOff>
      <xdr:row>7</xdr:row>
      <xdr:rowOff>99060</xdr:rowOff>
    </xdr:from>
    <xdr:to>
      <xdr:col>4</xdr:col>
      <xdr:colOff>335280</xdr:colOff>
      <xdr:row>11</xdr:row>
      <xdr:rowOff>60960</xdr:rowOff>
    </xdr:to>
    <xdr:graphicFrame macro="">
      <xdr:nvGraphicFramePr>
        <xdr:cNvPr id="35" name="Chart 34">
          <a:hlinkClick xmlns:r="http://schemas.openxmlformats.org/officeDocument/2006/relationships" r:id="rId7"/>
          <a:extLst>
            <a:ext uri="{FF2B5EF4-FFF2-40B4-BE49-F238E27FC236}">
              <a16:creationId xmlns:a16="http://schemas.microsoft.com/office/drawing/2014/main" id="{E106A74A-8284-4911-9FC9-F00C3EC39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167640</xdr:colOff>
      <xdr:row>7</xdr:row>
      <xdr:rowOff>106680</xdr:rowOff>
    </xdr:from>
    <xdr:to>
      <xdr:col>1</xdr:col>
      <xdr:colOff>243840</xdr:colOff>
      <xdr:row>26</xdr:row>
      <xdr:rowOff>60960</xdr:rowOff>
    </xdr:to>
    <mc:AlternateContent xmlns:mc="http://schemas.openxmlformats.org/markup-compatibility/2006" xmlns:a14="http://schemas.microsoft.com/office/drawing/2010/main">
      <mc:Choice Requires="a14">
        <xdr:graphicFrame macro="">
          <xdr:nvGraphicFramePr>
            <xdr:cNvPr id="32" name="Date (Month) 1">
              <a:extLst>
                <a:ext uri="{FF2B5EF4-FFF2-40B4-BE49-F238E27FC236}">
                  <a16:creationId xmlns:a16="http://schemas.microsoft.com/office/drawing/2014/main" id="{379EA07F-4A3E-4D1E-B333-61348D89FD2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67640" y="1386840"/>
              <a:ext cx="685800" cy="342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5</xdr:row>
      <xdr:rowOff>99060</xdr:rowOff>
    </xdr:from>
    <xdr:to>
      <xdr:col>1</xdr:col>
      <xdr:colOff>91440</xdr:colOff>
      <xdr:row>7</xdr:row>
      <xdr:rowOff>114300</xdr:rowOff>
    </xdr:to>
    <xdr:pic>
      <xdr:nvPicPr>
        <xdr:cNvPr id="34" name="Graphic 33" descr="Daily calendar with solid fill">
          <a:extLst>
            <a:ext uri="{FF2B5EF4-FFF2-40B4-BE49-F238E27FC236}">
              <a16:creationId xmlns:a16="http://schemas.microsoft.com/office/drawing/2014/main" id="{E43EBF75-9C6D-F772-3C49-2AB7639404B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0040" y="1013460"/>
          <a:ext cx="381000" cy="381000"/>
        </a:xfrm>
        <a:prstGeom prst="rect">
          <a:avLst/>
        </a:prstGeom>
      </xdr:spPr>
    </xdr:pic>
    <xdr:clientData/>
  </xdr:twoCellAnchor>
  <xdr:twoCellAnchor>
    <xdr:from>
      <xdr:col>4</xdr:col>
      <xdr:colOff>175260</xdr:colOff>
      <xdr:row>7</xdr:row>
      <xdr:rowOff>7620</xdr:rowOff>
    </xdr:from>
    <xdr:to>
      <xdr:col>7</xdr:col>
      <xdr:colOff>91440</xdr:colOff>
      <xdr:row>11</xdr:row>
      <xdr:rowOff>114300</xdr:rowOff>
    </xdr:to>
    <xdr:graphicFrame macro="">
      <xdr:nvGraphicFramePr>
        <xdr:cNvPr id="43" name="Chart 42">
          <a:hlinkClick xmlns:r="http://schemas.openxmlformats.org/officeDocument/2006/relationships" r:id="rId11"/>
          <a:extLst>
            <a:ext uri="{FF2B5EF4-FFF2-40B4-BE49-F238E27FC236}">
              <a16:creationId xmlns:a16="http://schemas.microsoft.com/office/drawing/2014/main" id="{B6134397-FFC2-4225-A76F-CDD0B9583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83820</xdr:colOff>
      <xdr:row>7</xdr:row>
      <xdr:rowOff>45720</xdr:rowOff>
    </xdr:from>
    <xdr:to>
      <xdr:col>9</xdr:col>
      <xdr:colOff>571500</xdr:colOff>
      <xdr:row>11</xdr:row>
      <xdr:rowOff>60960</xdr:rowOff>
    </xdr:to>
    <xdr:graphicFrame macro="">
      <xdr:nvGraphicFramePr>
        <xdr:cNvPr id="44" name="Chart 43">
          <a:hlinkClick xmlns:r="http://schemas.openxmlformats.org/officeDocument/2006/relationships" r:id="rId13"/>
          <a:extLst>
            <a:ext uri="{FF2B5EF4-FFF2-40B4-BE49-F238E27FC236}">
              <a16:creationId xmlns:a16="http://schemas.microsoft.com/office/drawing/2014/main" id="{92E9E53A-35B6-4C1E-8AC4-2C012162F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525780</xdr:colOff>
      <xdr:row>17</xdr:row>
      <xdr:rowOff>83820</xdr:rowOff>
    </xdr:from>
    <xdr:to>
      <xdr:col>9</xdr:col>
      <xdr:colOff>480060</xdr:colOff>
      <xdr:row>25</xdr:row>
      <xdr:rowOff>7620</xdr:rowOff>
    </xdr:to>
    <xdr:graphicFrame macro="">
      <xdr:nvGraphicFramePr>
        <xdr:cNvPr id="45" name="Chart 44">
          <a:extLst>
            <a:ext uri="{FF2B5EF4-FFF2-40B4-BE49-F238E27FC236}">
              <a16:creationId xmlns:a16="http://schemas.microsoft.com/office/drawing/2014/main" id="{3653D4F1-3F3D-4C51-9838-10FBF0B7A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601980</xdr:colOff>
      <xdr:row>25</xdr:row>
      <xdr:rowOff>7620</xdr:rowOff>
    </xdr:from>
    <xdr:to>
      <xdr:col>7</xdr:col>
      <xdr:colOff>220980</xdr:colOff>
      <xdr:row>26</xdr:row>
      <xdr:rowOff>99060</xdr:rowOff>
    </xdr:to>
    <xdr:sp macro="" textlink="">
      <xdr:nvSpPr>
        <xdr:cNvPr id="48" name="TextBox 47">
          <a:extLst>
            <a:ext uri="{FF2B5EF4-FFF2-40B4-BE49-F238E27FC236}">
              <a16:creationId xmlns:a16="http://schemas.microsoft.com/office/drawing/2014/main" id="{7F702F31-DD8D-F64E-6DA3-BF6183E5A7E1}"/>
            </a:ext>
          </a:extLst>
        </xdr:cNvPr>
        <xdr:cNvSpPr txBox="1"/>
      </xdr:nvSpPr>
      <xdr:spPr>
        <a:xfrm>
          <a:off x="2430780" y="4579620"/>
          <a:ext cx="2057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 of patient by Age</a:t>
          </a:r>
        </a:p>
      </xdr:txBody>
    </xdr:sp>
    <xdr:clientData/>
  </xdr:twoCellAnchor>
  <xdr:twoCellAnchor>
    <xdr:from>
      <xdr:col>10</xdr:col>
      <xdr:colOff>205740</xdr:colOff>
      <xdr:row>0</xdr:row>
      <xdr:rowOff>160020</xdr:rowOff>
    </xdr:from>
    <xdr:to>
      <xdr:col>14</xdr:col>
      <xdr:colOff>45720</xdr:colOff>
      <xdr:row>10</xdr:row>
      <xdr:rowOff>152400</xdr:rowOff>
    </xdr:to>
    <xdr:graphicFrame macro="">
      <xdr:nvGraphicFramePr>
        <xdr:cNvPr id="49" name="Chart 48">
          <a:extLst>
            <a:ext uri="{FF2B5EF4-FFF2-40B4-BE49-F238E27FC236}">
              <a16:creationId xmlns:a16="http://schemas.microsoft.com/office/drawing/2014/main" id="{B1CADC29-0C32-4BF8-A2F2-7B2999A7C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327660</xdr:colOff>
      <xdr:row>9</xdr:row>
      <xdr:rowOff>152400</xdr:rowOff>
    </xdr:from>
    <xdr:to>
      <xdr:col>12</xdr:col>
      <xdr:colOff>548640</xdr:colOff>
      <xdr:row>11</xdr:row>
      <xdr:rowOff>7620</xdr:rowOff>
    </xdr:to>
    <xdr:sp macro="" textlink="">
      <xdr:nvSpPr>
        <xdr:cNvPr id="50" name="TextBox 49">
          <a:extLst>
            <a:ext uri="{FF2B5EF4-FFF2-40B4-BE49-F238E27FC236}">
              <a16:creationId xmlns:a16="http://schemas.microsoft.com/office/drawing/2014/main" id="{62225AB2-10F4-E17F-8A85-D229EDD64B00}"/>
            </a:ext>
          </a:extLst>
        </xdr:cNvPr>
        <xdr:cNvSpPr txBox="1"/>
      </xdr:nvSpPr>
      <xdr:spPr>
        <a:xfrm>
          <a:off x="6423660" y="1798320"/>
          <a:ext cx="14401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 Attend Status</a:t>
          </a:r>
        </a:p>
      </xdr:txBody>
    </xdr:sp>
    <xdr:clientData/>
  </xdr:twoCellAnchor>
  <xdr:twoCellAnchor>
    <xdr:from>
      <xdr:col>13</xdr:col>
      <xdr:colOff>350520</xdr:colOff>
      <xdr:row>0</xdr:row>
      <xdr:rowOff>121920</xdr:rowOff>
    </xdr:from>
    <xdr:to>
      <xdr:col>16</xdr:col>
      <xdr:colOff>525780</xdr:colOff>
      <xdr:row>10</xdr:row>
      <xdr:rowOff>167640</xdr:rowOff>
    </xdr:to>
    <xdr:graphicFrame macro="">
      <xdr:nvGraphicFramePr>
        <xdr:cNvPr id="51" name="Chart 50">
          <a:extLst>
            <a:ext uri="{FF2B5EF4-FFF2-40B4-BE49-F238E27FC236}">
              <a16:creationId xmlns:a16="http://schemas.microsoft.com/office/drawing/2014/main" id="{B721061D-D7A6-4909-A950-9C4661617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502920</xdr:colOff>
      <xdr:row>9</xdr:row>
      <xdr:rowOff>152400</xdr:rowOff>
    </xdr:from>
    <xdr:to>
      <xdr:col>16</xdr:col>
      <xdr:colOff>236220</xdr:colOff>
      <xdr:row>11</xdr:row>
      <xdr:rowOff>15240</xdr:rowOff>
    </xdr:to>
    <xdr:sp macro="" textlink="">
      <xdr:nvSpPr>
        <xdr:cNvPr id="52" name="TextBox 51">
          <a:extLst>
            <a:ext uri="{FF2B5EF4-FFF2-40B4-BE49-F238E27FC236}">
              <a16:creationId xmlns:a16="http://schemas.microsoft.com/office/drawing/2014/main" id="{ED663947-C5FE-D7E4-0AF0-85AFCB17065B}"/>
            </a:ext>
          </a:extLst>
        </xdr:cNvPr>
        <xdr:cNvSpPr txBox="1"/>
      </xdr:nvSpPr>
      <xdr:spPr>
        <a:xfrm>
          <a:off x="8427720" y="1798320"/>
          <a:ext cx="1562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Gender wise Analysis</a:t>
          </a:r>
        </a:p>
      </xdr:txBody>
    </xdr:sp>
    <xdr:clientData/>
  </xdr:twoCellAnchor>
  <xdr:twoCellAnchor>
    <xdr:from>
      <xdr:col>10</xdr:col>
      <xdr:colOff>160020</xdr:colOff>
      <xdr:row>12</xdr:row>
      <xdr:rowOff>76200</xdr:rowOff>
    </xdr:from>
    <xdr:to>
      <xdr:col>16</xdr:col>
      <xdr:colOff>266700</xdr:colOff>
      <xdr:row>25</xdr:row>
      <xdr:rowOff>7620</xdr:rowOff>
    </xdr:to>
    <xdr:graphicFrame macro="">
      <xdr:nvGraphicFramePr>
        <xdr:cNvPr id="53" name="Chart 52">
          <a:extLst>
            <a:ext uri="{FF2B5EF4-FFF2-40B4-BE49-F238E27FC236}">
              <a16:creationId xmlns:a16="http://schemas.microsoft.com/office/drawing/2014/main" id="{1AA59663-3917-4441-9A7A-EA2D3C78F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350520</xdr:colOff>
      <xdr:row>25</xdr:row>
      <xdr:rowOff>0</xdr:rowOff>
    </xdr:from>
    <xdr:to>
      <xdr:col>15</xdr:col>
      <xdr:colOff>381000</xdr:colOff>
      <xdr:row>26</xdr:row>
      <xdr:rowOff>60960</xdr:rowOff>
    </xdr:to>
    <xdr:sp macro="" textlink="">
      <xdr:nvSpPr>
        <xdr:cNvPr id="54" name="TextBox 53">
          <a:extLst>
            <a:ext uri="{FF2B5EF4-FFF2-40B4-BE49-F238E27FC236}">
              <a16:creationId xmlns:a16="http://schemas.microsoft.com/office/drawing/2014/main" id="{8EF9C299-BBDC-C3FA-0675-82485953B690}"/>
            </a:ext>
          </a:extLst>
        </xdr:cNvPr>
        <xdr:cNvSpPr txBox="1"/>
      </xdr:nvSpPr>
      <xdr:spPr>
        <a:xfrm>
          <a:off x="7056120" y="4572000"/>
          <a:ext cx="24688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 of Patient</a:t>
          </a:r>
          <a:r>
            <a:rPr lang="en-IN" sz="1100" b="1" baseline="0"/>
            <a:t> by Department Referral</a:t>
          </a:r>
          <a:endParaRPr lang="en-IN" sz="1100" b="1"/>
        </a:p>
      </xdr:txBody>
    </xdr:sp>
    <xdr:clientData/>
  </xdr:twoCellAnchor>
  <xdr:twoCellAnchor editAs="oneCell">
    <xdr:from>
      <xdr:col>0</xdr:col>
      <xdr:colOff>160020</xdr:colOff>
      <xdr:row>0</xdr:row>
      <xdr:rowOff>114300</xdr:rowOff>
    </xdr:from>
    <xdr:to>
      <xdr:col>1</xdr:col>
      <xdr:colOff>236220</xdr:colOff>
      <xdr:row>4</xdr:row>
      <xdr:rowOff>68580</xdr:rowOff>
    </xdr:to>
    <xdr:pic>
      <xdr:nvPicPr>
        <xdr:cNvPr id="56" name="Graphic 55" descr="Medical with solid fill">
          <a:extLst>
            <a:ext uri="{FF2B5EF4-FFF2-40B4-BE49-F238E27FC236}">
              <a16:creationId xmlns:a16="http://schemas.microsoft.com/office/drawing/2014/main" id="{8157729D-2F6E-BB62-599D-D4D3ADF5A13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0020" y="114300"/>
          <a:ext cx="685800" cy="685800"/>
        </a:xfrm>
        <a:prstGeom prst="rect">
          <a:avLst/>
        </a:prstGeom>
      </xdr:spPr>
    </xdr:pic>
    <xdr:clientData/>
  </xdr:twoCellAnchor>
  <xdr:twoCellAnchor editAs="oneCell">
    <xdr:from>
      <xdr:col>7</xdr:col>
      <xdr:colOff>99060</xdr:colOff>
      <xdr:row>1</xdr:row>
      <xdr:rowOff>60959</xdr:rowOff>
    </xdr:from>
    <xdr:to>
      <xdr:col>9</xdr:col>
      <xdr:colOff>480060</xdr:colOff>
      <xdr:row>4</xdr:row>
      <xdr:rowOff>0</xdr:rowOff>
    </xdr:to>
    <mc:AlternateContent xmlns:mc="http://schemas.openxmlformats.org/markup-compatibility/2006" xmlns:a14="http://schemas.microsoft.com/office/drawing/2010/main">
      <mc:Choice Requires="a14">
        <xdr:graphicFrame macro="">
          <xdr:nvGraphicFramePr>
            <xdr:cNvPr id="57" name="Date (Year) 1">
              <a:extLst>
                <a:ext uri="{FF2B5EF4-FFF2-40B4-BE49-F238E27FC236}">
                  <a16:creationId xmlns:a16="http://schemas.microsoft.com/office/drawing/2014/main" id="{E9ED251D-A991-4EBD-B7DC-9C6BCEA0E513}"/>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366260" y="243839"/>
              <a:ext cx="1600200" cy="487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510540</xdr:colOff>
          <xdr:row>11</xdr:row>
          <xdr:rowOff>167640</xdr:rowOff>
        </xdr:from>
        <xdr:to>
          <xdr:col>9</xdr:col>
          <xdr:colOff>502920</xdr:colOff>
          <xdr:row>16</xdr:row>
          <xdr:rowOff>38100</xdr:rowOff>
        </xdr:to>
        <xdr:pic>
          <xdr:nvPicPr>
            <xdr:cNvPr id="65" name="Picture 64">
              <a:extLst>
                <a:ext uri="{FF2B5EF4-FFF2-40B4-BE49-F238E27FC236}">
                  <a16:creationId xmlns:a16="http://schemas.microsoft.com/office/drawing/2014/main" id="{46CE9E36-5D10-D37F-E4E0-29A0A734A99C}"/>
                </a:ext>
              </a:extLst>
            </xdr:cNvPr>
            <xdr:cNvPicPr>
              <a:picLocks noChangeAspect="1" noChangeArrowheads="1"/>
              <a:extLst>
                <a:ext uri="{84589F7E-364E-4C9E-8A38-B11213B215E9}">
                  <a14:cameraTool cellRange="'Pivot Report'!$A$50:$D$52" spid="_x0000_s2063"/>
                </a:ext>
              </a:extLst>
            </xdr:cNvPicPr>
          </xdr:nvPicPr>
          <xdr:blipFill>
            <a:blip xmlns:r="http://schemas.openxmlformats.org/officeDocument/2006/relationships" r:embed="rId21"/>
            <a:srcRect/>
            <a:stretch>
              <a:fillRect/>
            </a:stretch>
          </xdr:blipFill>
          <xdr:spPr bwMode="auto">
            <a:xfrm>
              <a:off x="1120140" y="2179320"/>
              <a:ext cx="4869180" cy="7848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7620</xdr:colOff>
      <xdr:row>0</xdr:row>
      <xdr:rowOff>22860</xdr:rowOff>
    </xdr:from>
    <xdr:to>
      <xdr:col>18</xdr:col>
      <xdr:colOff>15240</xdr:colOff>
      <xdr:row>22</xdr:row>
      <xdr:rowOff>160020</xdr:rowOff>
    </xdr:to>
    <xdr:graphicFrame macro="">
      <xdr:nvGraphicFramePr>
        <xdr:cNvPr id="2" name="Chart 1">
          <a:extLst>
            <a:ext uri="{FF2B5EF4-FFF2-40B4-BE49-F238E27FC236}">
              <a16:creationId xmlns:a16="http://schemas.microsoft.com/office/drawing/2014/main" id="{24EE8BF6-9C53-4A37-9926-26E2CEBAE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45720</xdr:colOff>
      <xdr:row>24</xdr:row>
      <xdr:rowOff>76200</xdr:rowOff>
    </xdr:from>
    <xdr:ext cx="10393680" cy="264560"/>
    <xdr:sp macro="" textlink="">
      <xdr:nvSpPr>
        <xdr:cNvPr id="3" name="TextBox 2">
          <a:extLst>
            <a:ext uri="{FF2B5EF4-FFF2-40B4-BE49-F238E27FC236}">
              <a16:creationId xmlns:a16="http://schemas.microsoft.com/office/drawing/2014/main" id="{8FF17A12-02AC-2DB8-9E80-2A7A8E9A6C86}"/>
            </a:ext>
          </a:extLst>
        </xdr:cNvPr>
        <xdr:cNvSpPr txBox="1"/>
      </xdr:nvSpPr>
      <xdr:spPr>
        <a:xfrm>
          <a:off x="45720" y="4465320"/>
          <a:ext cx="103936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a:t>use an area chart</a:t>
          </a:r>
          <a:r>
            <a:rPr lang="en-IN" sz="1100" baseline="0"/>
            <a:t> to show trends, spot drops in satisfaction, and link them to busy times or challenges</a:t>
          </a:r>
          <a:endParaRPr lang="en-IN" sz="1100"/>
        </a:p>
      </xdr:txBody>
    </xdr:sp>
    <xdr:clientData/>
  </xdr:oneCellAnchor>
  <xdr:twoCellAnchor editAs="oneCell">
    <xdr:from>
      <xdr:col>0</xdr:col>
      <xdr:colOff>0</xdr:colOff>
      <xdr:row>0</xdr:row>
      <xdr:rowOff>0</xdr:rowOff>
    </xdr:from>
    <xdr:to>
      <xdr:col>0</xdr:col>
      <xdr:colOff>426720</xdr:colOff>
      <xdr:row>2</xdr:row>
      <xdr:rowOff>60960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80630B32-F067-DA8B-711D-047AA2F83D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26720" cy="4267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0</xdr:row>
      <xdr:rowOff>22860</xdr:rowOff>
    </xdr:from>
    <xdr:to>
      <xdr:col>16</xdr:col>
      <xdr:colOff>594360</xdr:colOff>
      <xdr:row>22</xdr:row>
      <xdr:rowOff>114300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C5FD63B3-C2F8-43BA-A9AE-5DCFE56EB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23</xdr:row>
      <xdr:rowOff>114300</xdr:rowOff>
    </xdr:from>
    <xdr:to>
      <xdr:col>16</xdr:col>
      <xdr:colOff>586740</xdr:colOff>
      <xdr:row>26</xdr:row>
      <xdr:rowOff>15240</xdr:rowOff>
    </xdr:to>
    <xdr:sp macro="" textlink="">
      <xdr:nvSpPr>
        <xdr:cNvPr id="4" name="TextBox 3">
          <a:extLst>
            <a:ext uri="{FF2B5EF4-FFF2-40B4-BE49-F238E27FC236}">
              <a16:creationId xmlns:a16="http://schemas.microsoft.com/office/drawing/2014/main" id="{DF88338E-6DA4-E305-96FB-EA4C6F022AC8}"/>
            </a:ext>
          </a:extLst>
        </xdr:cNvPr>
        <xdr:cNvSpPr txBox="1"/>
      </xdr:nvSpPr>
      <xdr:spPr>
        <a:xfrm>
          <a:off x="60960" y="4320540"/>
          <a:ext cx="102793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use an area sparkline to track daily cahngesand highlight days with longerwait times thatmight need improvement</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0.04133</cdr:x>
      <cdr:y>0.1037</cdr:y>
    </cdr:to>
    <cdr:pic>
      <cdr:nvPicPr>
        <cdr:cNvPr id="3" name="Graphic 2" descr="Home with solid fill">
          <a:extLst xmlns:a="http://schemas.openxmlformats.org/drawingml/2006/main">
            <a:ext uri="{FF2B5EF4-FFF2-40B4-BE49-F238E27FC236}">
              <a16:creationId xmlns:a16="http://schemas.microsoft.com/office/drawing/2014/main" id="{153FAA1F-5DE6-FB61-1168-13A0CB30168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426720" cy="4267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1828704" createdVersion="5" refreshedVersion="8" minRefreshableVersion="3" recordCount="0" supportSubquery="1" supportAdvancedDrill="1" xr:uid="{0CD898D1-2C30-480E-9E98-C97CD4D8A267}">
  <cacheSource type="external" connectionId="3"/>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Measures].[Count of Patient Id]" caption="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18634263" createdVersion="5" refreshedVersion="8" minRefreshableVersion="3" recordCount="0" supportSubquery="1" supportAdvancedDrill="1" xr:uid="{8C090D20-293F-40D1-B6FC-3303483DF321}">
  <cacheSource type="external" connectionId="3"/>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1886574" createdVersion="5" refreshedVersion="8" minRefreshableVersion="3" recordCount="0" supportSubquery="1" supportAdvancedDrill="1" xr:uid="{E89BE977-4F04-4205-B795-0C4C50FD1EEC}">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19212963" createdVersion="5" refreshedVersion="8" minRefreshableVersion="3" recordCount="0" supportSubquery="1" supportAdvancedDrill="1" xr:uid="{4C54BC14-2495-4C3E-957D-1D6C410C950D}">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1990741" createdVersion="5" refreshedVersion="8" minRefreshableVersion="3" recordCount="0" supportSubquery="1" supportAdvancedDrill="1" xr:uid="{2A4E6C24-9EC3-4546-9D81-4476FDD8B835}">
  <cacheSource type="external" connectionId="3"/>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20601849" createdVersion="5" refreshedVersion="8" minRefreshableVersion="3" recordCount="0" supportSubquery="1" supportAdvancedDrill="1" xr:uid="{A1D44910-95D5-46DE-8668-0A136C05F8C7}">
  <cacheSource type="external" connectionId="3"/>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20949072" createdVersion="5" refreshedVersion="8" minRefreshableVersion="3" recordCount="0" supportSubquery="1" supportAdvancedDrill="1" xr:uid="{08FC8E69-2B48-4288-AC24-A870FA55DBA9}">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R_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fieldsUsage count="2">
        <fieldUsage x="-1"/>
        <fieldUsage x="2"/>
      </fieldsUsage>
    </cacheHierarchy>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21412034" createdVersion="5" refreshedVersion="8" minRefreshableVersion="3" recordCount="0" supportSubquery="1" supportAdvancedDrill="1" xr:uid="{7888AD4F-94AC-4689-8AAB-DE34CE69C6CF}">
  <cacheSource type="external" connectionId="3"/>
  <cacheFields count="4">
    <cacheField name="[Calender_Table].[Date (Month)].[Date (Month)]" caption="Date (Month)" numFmtId="0" hierarchy="1" level="1">
      <sharedItems containsSemiMixedTypes="0" containsNonDate="0" containsString="0"/>
    </cacheField>
    <cacheField name="[Hospital ER_Data].[Age Group].[Age Group]" caption="Age Group" numFmtId="0" hierarchy="17" level="1">
      <sharedItems count="8">
        <s v="0-9"/>
        <s v="10-19"/>
        <s v="20-29"/>
        <s v="30-39"/>
        <s v="40-49"/>
        <s v="50-59"/>
        <s v="60-69"/>
        <s v="70-79"/>
      </sharedItems>
    </cacheField>
    <cacheField name="[Measures].[Count of Patient Age]" caption="Count of Patient Age" numFmtId="0" hierarchy="33"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fieldsUsage count="2">
        <fieldUsage x="-1"/>
        <fieldUsage x="1"/>
      </fieldsUsage>
    </cacheHierarchy>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21759257" createdVersion="5" refreshedVersion="8" minRefreshableVersion="3" recordCount="0" supportSubquery="1" supportAdvancedDrill="1" xr:uid="{E459B621-6A1A-4616-B2EF-56615CF5AB53}">
  <cacheSource type="external" connectionId="3"/>
  <cacheFields count="4">
    <cacheField name="[Calender_Table].[Date (Month)].[Date (Month)]" caption="Date (Month)" numFmtId="0" hierarchy="1" level="1">
      <sharedItems containsSemiMixedTypes="0" containsNonDate="0" containsString="0"/>
    </cacheField>
    <cacheField name="[Hospital ER_Data].[Patient Attend Status].[Patient Attend Status]" caption="Patient Attend Status" numFmtId="0" hierarchy="18" level="1">
      <sharedItems count="2">
        <s v="Delay"/>
        <s v="OnTime"/>
      </sharedItems>
    </cacheField>
    <cacheField name="[Measures].[Count of Patient Attend Status]" caption="Count of Patient Attend Status" numFmtId="0" hierarchy="34"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22222219" createdVersion="5" refreshedVersion="8" minRefreshableVersion="3" recordCount="0" supportSubquery="1" supportAdvancedDrill="1" xr:uid="{0D65E020-ED5D-4547-B86E-9793816B4708}">
  <cacheSource type="external" connectionId="3"/>
  <cacheFields count="4">
    <cacheField name="[Calender_Table].[Date (Month)].[Date (Month)]" caption="Date (Month)" numFmtId="0" hierarchy="1" level="1">
      <sharedItems containsSemiMixedTypes="0" containsNonDate="0" containsString="0"/>
    </cacheField>
    <cacheField name="[Hospital ER_Data].[Patient Gender].[Patient Gender]" caption="Patient Gender" numFmtId="0" hierarchy="9" level="1">
      <sharedItems count="2">
        <s v="Female"/>
        <s v="Male"/>
      </sharedItems>
    </cacheField>
    <cacheField name="[Measures].[Count of Patient Gender]" caption="Count of Patient Gender" numFmtId="0" hierarchy="35"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fieldsUsage count="2">
        <fieldUsage x="-1"/>
        <fieldUsage x="1"/>
      </fieldsUsage>
    </cacheHierarchy>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22800927" createdVersion="5" refreshedVersion="8" minRefreshableVersion="3" recordCount="0" supportSubquery="1" supportAdvancedDrill="1" xr:uid="{DEA37C68-E2E4-4BBD-8BBE-977F9530D1E9}">
  <cacheSource type="external" connectionId="3"/>
  <cacheFields count="4">
    <cacheField name="[Calender_Table].[Date (Month)].[Date (Month)]" caption="Date (Month)" numFmtId="0" hierarchy="1" level="1">
      <sharedItems containsSemiMixedTypes="0" containsNonDate="0" containsString="0"/>
    </cacheField>
    <cacheField name="[Hospital ER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fieldsUsage count="2">
        <fieldUsage x="-1"/>
        <fieldUsage x="1"/>
      </fieldsUsage>
    </cacheHierarchy>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90123263889" createdVersion="5" refreshedVersion="8" minRefreshableVersion="3" recordCount="0" supportSubquery="1" supportAdvancedDrill="1" xr:uid="{E66D873B-D6FE-442C-A9F4-AF2A14AF375F}">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R_Data].[Patient Id]" caption="Patient Id" attribute="1" defaultMemberUniqueName="[Hospital ER_Data].[Patient Id].[All]" allUniqueName="[Hospital ER_Data].[Patient Id].[All]" dimensionUniqueName="[Hospital ER_Data]" displayFolder="" count="2"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2"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2" memberValueDatatype="7" unbalanced="0"/>
    <cacheHierarchy uniqueName="[Hospital ER_Data].[Merged]" caption="Merged" attribute="1" defaultMemberUniqueName="[Hospital ER_Data].[Merged].[All]" allUniqueName="[Hospital ER_Data].[Merged].[All]" dimensionUniqueName="[Hospital ER_Data]" displayFolder="" count="2"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cacheHierarchy uniqueName="[Hospital ER_Data].[Patient Age]" caption="Patient Age" attribute="1" defaultMemberUniqueName="[Hospital ER_Data].[Patient Age].[All]" allUniqueName="[Hospital ER_Data].[Patient Age].[All]" dimensionUniqueName="[Hospital ER_Data]" displayFolder="" count="2" memberValueDatatype="20" unbalanced="0"/>
    <cacheHierarchy uniqueName="[Hospital ER_Data].[Patient Race]" caption="Patient Race" attribute="1" defaultMemberUniqueName="[Hospital ER_Data].[Patient Race].[All]" allUniqueName="[Hospital ER_Data].[Patient Race].[All]" dimensionUniqueName="[Hospital ER_Data]" displayFolder="" count="2"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2"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2" memberValueDatatype="20" unbalanced="0"/>
    <cacheHierarchy uniqueName="[Hospital ER_Data].[Patients CM]" caption="Patients CM" attribute="1" defaultMemberUniqueName="[Hospital ER_Data].[Patients CM].[All]" allUniqueName="[Hospital ER_Data].[Patients CM].[All]" dimensionUniqueName="[Hospital ER_Data]" displayFolder="" count="2"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8.855262152778" createdVersion="3" refreshedVersion="8" minRefreshableVersion="3" recordCount="0" supportSubquery="1" supportAdvancedDrill="1" xr:uid="{318421EC-E645-41BB-BAD9-2398EAED4285}">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621999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14D95-4F08-426A-8444-CB83696C9DE6}" name="PivotTable1" cacheId="1" applyNumberFormats="0" applyBorderFormats="0" applyFontFormats="0" applyPatternFormats="0" applyAlignmentFormats="0" applyWidthHeightFormats="1" dataCaption="Values" tag="c8311485-b1f5-48a4-8624-0eaa94bbbc3a"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E3638B-89E3-4DB6-8470-3B523DC20A3C}" name="PivotTable9" cacheId="7" applyNumberFormats="0" applyBorderFormats="0" applyFontFormats="0" applyPatternFormats="0" applyAlignmentFormats="0" applyWidthHeightFormats="1" dataCaption="Values" tag="2f055cce-42f3-4b57-b93a-d5b8ad55b3f7" updatedVersion="8" minRefreshableVersion="3" itemPrintTitles="1" createdVersion="5" indent="0" outline="1" outlineData="1" multipleFieldFilters="0" chartFormat="7">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numFmtId="1"/>
  </dataFields>
  <formats count="1">
    <format dxfId="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E105EE-F3BB-471E-BDF6-3A17644E7150}" name="PivotTable7" cacheId="5" applyNumberFormats="0" applyBorderFormats="0" applyFontFormats="0" applyPatternFormats="0" applyAlignmentFormats="0" applyWidthHeightFormats="1" dataCaption="Values" tag="9c78babf-edce-43a6-adac-10aea78f50e6" updatedVersion="8" minRefreshableVersion="3" subtotalHiddenItems="1" itemPrintTitles="1" createdVersion="5" indent="0" outline="1" outlineData="1" multipleFieldFilters="0" chartFormat="73">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0"/>
  </dataFields>
  <formats count="1">
    <format dxfId="1">
      <pivotArea outline="0" collapsedLevelsAreSubtotals="1" fieldPosition="0"/>
    </format>
  </formats>
  <chartFormats count="2">
    <chartFormat chart="53" format="2" series="1">
      <pivotArea type="data" outline="0" fieldPosition="0">
        <references count="1">
          <reference field="4294967294" count="1" selected="0">
            <x v="0"/>
          </reference>
        </references>
      </pivotArea>
    </chartFormat>
    <chartFormat chart="56"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0817A4-FB83-44DA-AFEA-82F61BAB9D99}" name="PivotTable2" cacheId="2" applyNumberFormats="0" applyBorderFormats="0" applyFontFormats="0" applyPatternFormats="0" applyAlignmentFormats="0" applyWidthHeightFormats="1" dataCaption="Values" tag="8b406ea2-1cf4-4a19-bade-460947ad391c"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
      <pivotArea outline="0" collapsedLevelsAreSubtotals="1" fieldPosition="0"/>
    </format>
  </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65EC8C-1D35-44E0-9CBB-DFAE4A36A3E5}" name="PivotTable3" cacheId="3" applyNumberFormats="0" applyBorderFormats="0" applyFontFormats="0" applyPatternFormats="0" applyAlignmentFormats="0" applyWidthHeightFormats="1" dataCaption="Values" tag="ddde0eaa-a18b-4994-ac2a-0ebdf99b8046" updatedVersion="8"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434AF7-C1F6-4320-BF83-CBECB696A8B7}" name="PivotTable10" cacheId="8" applyNumberFormats="0" applyBorderFormats="0" applyFontFormats="0" applyPatternFormats="0" applyAlignmentFormats="0" applyWidthHeightFormats="1" dataCaption="Values" tag="7d31cb42-bd25-4003-a8c7-b48e27a6b36a" updatedVersion="8" minRefreshableVersion="3" itemPrintTitles="1" createdVersion="5" indent="0" outline="1" outlineData="1" multipleFieldFilters="0" chartFormat="13">
  <location ref="E56:F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4">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F0E458-DFB7-44EB-B0FF-DCF983711828}" name="PivotTable4" cacheId="0" applyNumberFormats="0" applyBorderFormats="0" applyFontFormats="0" applyPatternFormats="0" applyAlignmentFormats="0" applyWidthHeightFormats="1" dataCaption="Values" tag="6ef7beed-4382-4ed3-a5a2-62c2f9089722" updatedVersion="8" minRefreshableVersion="3" subtotalHiddenItems="1" itemPrintTitles="1" createdVersion="5" indent="0" outline="1" outlineData="1" multipleFieldFilters="0" chartFormat="32">
  <location ref="C4:D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1" subtotal="count" baseField="0" baseItem="0"/>
  </dataFields>
  <chartFormats count="2">
    <chartFormat chart="6"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13509F-8AB6-452B-98B0-1386BA008507}" name="PivotTable8" cacheId="6" applyNumberFormats="0" applyBorderFormats="0" applyFontFormats="0" applyPatternFormats="0" applyAlignmentFormats="0" applyWidthHeightFormats="1" dataCaption="Values" tag="6ec2b7a9-3cae-43b4-b6a2-4e92a35e22fd" updatedVersion="8" minRefreshableVersion="3" itemPrintTitles="1" createdVersion="5" indent="0" outline="1" outlineData="1" multipleFieldFilters="0" chartFormat="20">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6">
      <pivotArea outline="0" collapsedLevelsAreSubtotals="1" fieldPosition="0"/>
    </format>
    <format dxfId="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41E354-CB36-4185-9E41-04614F2D07A1}" name="PivotTable13" cacheId="11" applyNumberFormats="0" applyBorderFormats="0" applyFontFormats="0" applyPatternFormats="0" applyAlignmentFormats="0" applyWidthHeightFormats="1" dataCaption="Values" tag="8dd9ce00-c480-448e-ba4c-ded6e856faec" updatedVersion="8" minRefreshableVersion="3" itemPrintTitles="1" createdVersion="5" indent="0" outline="1" outlineData="1" multipleFieldFilters="0" chartFormat="19">
  <location ref="A86:A88"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7">
      <pivotArea outline="0" collapsedLevelsAreSubtotals="1" fieldPosition="0"/>
    </format>
  </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27389B-686E-4D47-BABF-B3D0DFADC205}" name="PivotTable6" cacheId="4" applyNumberFormats="0" applyBorderFormats="0" applyFontFormats="0" applyPatternFormats="0" applyAlignmentFormats="0" applyWidthHeightFormats="1" dataCaption="Values" tag="712397ea-7cb2-411c-90de-f20c10ca0368" updatedVersion="8" minRefreshableVersion="3" subtotalHiddenItems="1" itemPrintTitles="1" createdVersion="5" indent="0" outline="1" outlineData="1" multipleFieldFilters="0" chartFormat="50">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numFmtId="2"/>
  </dataFields>
  <formats count="1">
    <format dxfId="8">
      <pivotArea outline="0" collapsedLevelsAreSubtotals="1" fieldPosition="0"/>
    </format>
  </formats>
  <chartFormats count="2">
    <chartFormat chart="34"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E3BCBE-17DB-48FE-B077-FC3A0835814C}" name="PivotTable11" cacheId="9" applyNumberFormats="0" applyBorderFormats="0" applyFontFormats="0" applyPatternFormats="0" applyAlignmentFormats="0" applyWidthHeightFormats="1" dataCaption="Values" tag="b56a57c2-962f-4b07-8376-83e0098050c8" updatedVersion="8" minRefreshableVersion="3" itemPrintTitles="1" createdVersion="5" indent="0" outline="1" outlineData="1" multipleFieldFilters="0" chartFormat="19">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9">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DDAC98-B725-4F02-94C4-32C707DC36DF}" name="PivotTable12" cacheId="10" applyNumberFormats="0" applyBorderFormats="0" applyFontFormats="0" applyPatternFormats="0" applyAlignmentFormats="0" applyWidthHeightFormats="1" dataCaption="Values" tag="79d2ada6-ba36-42eb-a5e7-003d0aca6b16" updatedVersion="8" minRefreshableVersion="3" subtotalHiddenItems="1" itemPrintTitles="1" createdVersion="5" indent="0" outline="1" outlineData="1" multipleFieldFilters="0" chartFormat="23">
  <location ref="A74:B8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10">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DF81D6F-0D13-4805-BC12-34C4A515366A}" sourceName="[Calender_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26219991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E4695AA-675F-4B4F-ABF0-30CDB380F661}"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8"/>
    <pivotTable tabId="1" name="PivotTable9"/>
  </pivotTables>
  <data>
    <olap pivotCacheId="26219991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74BA7CC-D0E2-45A7-8A39-284F2A77637B}" cache="Slicer_Date__Month" caption="Date (Month)" level="1" rowHeight="234950"/>
  <slicer name="Date (Year)" xr10:uid="{1FDABF4A-9570-44C1-912C-60EC6B7520F1}"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382DF3C-EFA3-43BD-A08C-8A39BFEE7B70}" cache="Slicer_Date__Month" caption="Date (Month)" showCaption="0" level="1" style="SlicerStyleLight4 2" rowHeight="234950"/>
  <slicer name="Date (Year) 1" xr10:uid="{893BA381-6AD5-4774-9DBB-5628387502AD}" cache="Slicer_Date__Year" caption="Date (Year)" columnCount="2" showCaption="0" level="1" style="SlicerStyleLight4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163C-964D-4983-9CB3-1A21BB9F1F80}">
  <dimension ref="A2:M88"/>
  <sheetViews>
    <sheetView topLeftCell="A39" workbookViewId="0">
      <selection activeCell="A50" sqref="A50:D52"/>
    </sheetView>
  </sheetViews>
  <sheetFormatPr defaultRowHeight="14.4" x14ac:dyDescent="0.3"/>
  <cols>
    <col min="1" max="1" width="15.44140625" customWidth="1"/>
    <col min="2" max="2" width="10.44140625" customWidth="1"/>
    <col min="3" max="3" width="12.33203125" customWidth="1"/>
    <col min="4" max="4" width="22.5546875" customWidth="1"/>
    <col min="5" max="5" width="8.88671875" customWidth="1"/>
  </cols>
  <sheetData>
    <row r="2" spans="1:13" x14ac:dyDescent="0.3">
      <c r="A2" t="s">
        <v>2</v>
      </c>
    </row>
    <row r="3" spans="1:13" x14ac:dyDescent="0.3">
      <c r="C3" t="s">
        <v>39</v>
      </c>
      <c r="G3" t="s">
        <v>40</v>
      </c>
      <c r="L3" t="s">
        <v>41</v>
      </c>
    </row>
    <row r="4" spans="1:13" x14ac:dyDescent="0.3">
      <c r="A4" t="s">
        <v>1</v>
      </c>
      <c r="C4" s="1" t="s">
        <v>5</v>
      </c>
      <c r="D4" t="s">
        <v>0</v>
      </c>
      <c r="G4" s="1" t="s">
        <v>5</v>
      </c>
      <c r="H4" t="s">
        <v>3</v>
      </c>
      <c r="L4" s="1" t="s">
        <v>5</v>
      </c>
      <c r="M4" t="s">
        <v>4</v>
      </c>
    </row>
    <row r="5" spans="1:13" x14ac:dyDescent="0.3">
      <c r="A5">
        <v>488</v>
      </c>
      <c r="C5" s="6" t="s">
        <v>8</v>
      </c>
      <c r="D5">
        <v>17</v>
      </c>
      <c r="G5" s="6" t="s">
        <v>8</v>
      </c>
      <c r="H5" s="2">
        <v>36.941176470588232</v>
      </c>
      <c r="L5" s="6" t="s">
        <v>8</v>
      </c>
      <c r="M5" s="2">
        <v>4.125</v>
      </c>
    </row>
    <row r="6" spans="1:13" x14ac:dyDescent="0.3">
      <c r="C6" s="6" t="s">
        <v>9</v>
      </c>
      <c r="D6">
        <v>19</v>
      </c>
      <c r="G6" s="6" t="s">
        <v>9</v>
      </c>
      <c r="H6" s="2">
        <v>30.842105263157894</v>
      </c>
      <c r="L6" s="6" t="s">
        <v>9</v>
      </c>
      <c r="M6" s="2">
        <v>5.333333333333333</v>
      </c>
    </row>
    <row r="7" spans="1:13" x14ac:dyDescent="0.3">
      <c r="C7" s="6" t="s">
        <v>10</v>
      </c>
      <c r="D7">
        <v>12</v>
      </c>
      <c r="G7" s="6" t="s">
        <v>10</v>
      </c>
      <c r="H7" s="2">
        <v>31.833333333333332</v>
      </c>
      <c r="L7" s="6" t="s">
        <v>10</v>
      </c>
      <c r="M7" s="2">
        <v>4.75</v>
      </c>
    </row>
    <row r="8" spans="1:13" x14ac:dyDescent="0.3">
      <c r="A8" t="s">
        <v>3</v>
      </c>
      <c r="C8" s="6" t="s">
        <v>11</v>
      </c>
      <c r="D8">
        <v>9</v>
      </c>
      <c r="G8" s="6" t="s">
        <v>11</v>
      </c>
      <c r="H8" s="2">
        <v>33.777777777777779</v>
      </c>
      <c r="L8" s="6" t="s">
        <v>11</v>
      </c>
      <c r="M8" s="2">
        <v>2</v>
      </c>
    </row>
    <row r="9" spans="1:13" x14ac:dyDescent="0.3">
      <c r="A9" s="2">
        <v>35.19877049180328</v>
      </c>
      <c r="C9" s="6" t="s">
        <v>12</v>
      </c>
      <c r="D9">
        <v>15</v>
      </c>
      <c r="G9" s="6" t="s">
        <v>12</v>
      </c>
      <c r="H9" s="2">
        <v>30.466666666666665</v>
      </c>
      <c r="L9" s="6" t="s">
        <v>12</v>
      </c>
      <c r="M9" s="2">
        <v>8</v>
      </c>
    </row>
    <row r="10" spans="1:13" x14ac:dyDescent="0.3">
      <c r="C10" s="6" t="s">
        <v>13</v>
      </c>
      <c r="D10">
        <v>10</v>
      </c>
      <c r="G10" s="6" t="s">
        <v>13</v>
      </c>
      <c r="H10" s="2">
        <v>38.799999999999997</v>
      </c>
      <c r="L10" s="6" t="s">
        <v>13</v>
      </c>
      <c r="M10" s="2">
        <v>3.5</v>
      </c>
    </row>
    <row r="11" spans="1:13" x14ac:dyDescent="0.3">
      <c r="C11" s="6" t="s">
        <v>14</v>
      </c>
      <c r="D11">
        <v>18</v>
      </c>
      <c r="G11" s="6" t="s">
        <v>14</v>
      </c>
      <c r="H11" s="2">
        <v>30.277777777777779</v>
      </c>
      <c r="L11" s="6" t="s">
        <v>14</v>
      </c>
      <c r="M11" s="2">
        <v>7</v>
      </c>
    </row>
    <row r="12" spans="1:13" x14ac:dyDescent="0.3">
      <c r="A12" t="s">
        <v>4</v>
      </c>
      <c r="C12" s="6" t="s">
        <v>15</v>
      </c>
      <c r="D12">
        <v>19</v>
      </c>
      <c r="G12" s="6" t="s">
        <v>15</v>
      </c>
      <c r="H12" s="2">
        <v>35.157894736842103</v>
      </c>
      <c r="L12" s="6" t="s">
        <v>15</v>
      </c>
      <c r="M12" s="2">
        <v>3.5</v>
      </c>
    </row>
    <row r="13" spans="1:13" x14ac:dyDescent="0.3">
      <c r="A13" s="2">
        <v>4.7876712328767121</v>
      </c>
      <c r="C13" s="6" t="s">
        <v>16</v>
      </c>
      <c r="D13">
        <v>19</v>
      </c>
      <c r="G13" s="6" t="s">
        <v>16</v>
      </c>
      <c r="H13" s="2">
        <v>37.94736842105263</v>
      </c>
      <c r="L13" s="6" t="s">
        <v>16</v>
      </c>
      <c r="M13" s="2">
        <v>6.4</v>
      </c>
    </row>
    <row r="14" spans="1:13" x14ac:dyDescent="0.3">
      <c r="C14" s="6" t="s">
        <v>17</v>
      </c>
      <c r="D14">
        <v>13</v>
      </c>
      <c r="G14" s="6" t="s">
        <v>17</v>
      </c>
      <c r="H14" s="2">
        <v>33.92307692307692</v>
      </c>
      <c r="L14" s="6" t="s">
        <v>17</v>
      </c>
      <c r="M14" s="2">
        <v>3.5</v>
      </c>
    </row>
    <row r="15" spans="1:13" x14ac:dyDescent="0.3">
      <c r="C15" s="6" t="s">
        <v>18</v>
      </c>
      <c r="D15">
        <v>15</v>
      </c>
      <c r="G15" s="6" t="s">
        <v>18</v>
      </c>
      <c r="H15" s="2">
        <v>33.200000000000003</v>
      </c>
      <c r="L15" s="6" t="s">
        <v>18</v>
      </c>
      <c r="M15" s="2">
        <v>6.5</v>
      </c>
    </row>
    <row r="16" spans="1:13" x14ac:dyDescent="0.3">
      <c r="C16" s="6" t="s">
        <v>19</v>
      </c>
      <c r="D16">
        <v>25</v>
      </c>
      <c r="G16" s="6" t="s">
        <v>19</v>
      </c>
      <c r="H16" s="2">
        <v>40.159999999999997</v>
      </c>
      <c r="L16" s="6" t="s">
        <v>19</v>
      </c>
      <c r="M16" s="2">
        <v>5.2857142857142856</v>
      </c>
    </row>
    <row r="17" spans="3:13" x14ac:dyDescent="0.3">
      <c r="C17" s="6" t="s">
        <v>20</v>
      </c>
      <c r="D17">
        <v>19</v>
      </c>
      <c r="G17" s="6" t="s">
        <v>20</v>
      </c>
      <c r="H17" s="2">
        <v>41.578947368421055</v>
      </c>
      <c r="L17" s="6" t="s">
        <v>20</v>
      </c>
      <c r="M17" s="2">
        <v>4.333333333333333</v>
      </c>
    </row>
    <row r="18" spans="3:13" x14ac:dyDescent="0.3">
      <c r="C18" s="6" t="s">
        <v>21</v>
      </c>
      <c r="D18">
        <v>15</v>
      </c>
      <c r="G18" s="6" t="s">
        <v>21</v>
      </c>
      <c r="H18" s="2">
        <v>36.866666666666667</v>
      </c>
      <c r="L18" s="6" t="s">
        <v>21</v>
      </c>
      <c r="M18" s="2">
        <v>3</v>
      </c>
    </row>
    <row r="19" spans="3:13" x14ac:dyDescent="0.3">
      <c r="C19" s="6" t="s">
        <v>22</v>
      </c>
      <c r="D19">
        <v>14</v>
      </c>
      <c r="G19" s="6" t="s">
        <v>22</v>
      </c>
      <c r="H19" s="2">
        <v>33.714285714285715</v>
      </c>
      <c r="L19" s="6" t="s">
        <v>22</v>
      </c>
      <c r="M19" s="2">
        <v>4.333333333333333</v>
      </c>
    </row>
    <row r="20" spans="3:13" x14ac:dyDescent="0.3">
      <c r="C20" s="6" t="s">
        <v>23</v>
      </c>
      <c r="D20">
        <v>20</v>
      </c>
      <c r="G20" s="6" t="s">
        <v>23</v>
      </c>
      <c r="H20" s="2">
        <v>33.700000000000003</v>
      </c>
      <c r="L20" s="6" t="s">
        <v>23</v>
      </c>
      <c r="M20" s="2">
        <v>3.3333333333333335</v>
      </c>
    </row>
    <row r="21" spans="3:13" x14ac:dyDescent="0.3">
      <c r="C21" s="6" t="s">
        <v>24</v>
      </c>
      <c r="D21">
        <v>14</v>
      </c>
      <c r="G21" s="6" t="s">
        <v>24</v>
      </c>
      <c r="H21" s="2">
        <v>34.642857142857146</v>
      </c>
      <c r="L21" s="6" t="s">
        <v>24</v>
      </c>
      <c r="M21" s="2">
        <v>2.5714285714285716</v>
      </c>
    </row>
    <row r="22" spans="3:13" x14ac:dyDescent="0.3">
      <c r="C22" s="6" t="s">
        <v>25</v>
      </c>
      <c r="D22">
        <v>14</v>
      </c>
      <c r="G22" s="6" t="s">
        <v>25</v>
      </c>
      <c r="H22" s="2">
        <v>36.5</v>
      </c>
      <c r="L22" s="6" t="s">
        <v>25</v>
      </c>
      <c r="M22" s="2">
        <v>3.75</v>
      </c>
    </row>
    <row r="23" spans="3:13" x14ac:dyDescent="0.3">
      <c r="C23" s="6" t="s">
        <v>26</v>
      </c>
      <c r="D23">
        <v>17</v>
      </c>
      <c r="G23" s="6" t="s">
        <v>26</v>
      </c>
      <c r="H23" s="2">
        <v>33.058823529411768</v>
      </c>
      <c r="L23" s="6" t="s">
        <v>26</v>
      </c>
      <c r="M23" s="2">
        <v>8.3333333333333339</v>
      </c>
    </row>
    <row r="24" spans="3:13" x14ac:dyDescent="0.3">
      <c r="C24" s="6" t="s">
        <v>27</v>
      </c>
      <c r="D24">
        <v>16</v>
      </c>
      <c r="G24" s="6" t="s">
        <v>27</v>
      </c>
      <c r="H24" s="2">
        <v>33.5625</v>
      </c>
      <c r="L24" s="6" t="s">
        <v>27</v>
      </c>
      <c r="M24" s="2">
        <v>3.75</v>
      </c>
    </row>
    <row r="25" spans="3:13" x14ac:dyDescent="0.3">
      <c r="C25" s="6" t="s">
        <v>28</v>
      </c>
      <c r="D25">
        <v>18</v>
      </c>
      <c r="G25" s="6" t="s">
        <v>28</v>
      </c>
      <c r="H25" s="2">
        <v>31.555555555555557</v>
      </c>
      <c r="L25" s="6" t="s">
        <v>28</v>
      </c>
      <c r="M25" s="2">
        <v>4.666666666666667</v>
      </c>
    </row>
    <row r="26" spans="3:13" x14ac:dyDescent="0.3">
      <c r="C26" s="6" t="s">
        <v>29</v>
      </c>
      <c r="D26">
        <v>8</v>
      </c>
      <c r="G26" s="6" t="s">
        <v>29</v>
      </c>
      <c r="H26" s="2">
        <v>38.375</v>
      </c>
      <c r="L26" s="6" t="s">
        <v>29</v>
      </c>
      <c r="M26" s="2">
        <v>5</v>
      </c>
    </row>
    <row r="27" spans="3:13" x14ac:dyDescent="0.3">
      <c r="C27" s="6" t="s">
        <v>30</v>
      </c>
      <c r="D27">
        <v>17</v>
      </c>
      <c r="G27" s="6" t="s">
        <v>30</v>
      </c>
      <c r="H27" s="2">
        <v>35.411764705882355</v>
      </c>
      <c r="L27" s="6" t="s">
        <v>30</v>
      </c>
      <c r="M27" s="2">
        <v>4.333333333333333</v>
      </c>
    </row>
    <row r="28" spans="3:13" x14ac:dyDescent="0.3">
      <c r="C28" s="6" t="s">
        <v>31</v>
      </c>
      <c r="D28">
        <v>11</v>
      </c>
      <c r="G28" s="6" t="s">
        <v>31</v>
      </c>
      <c r="H28" s="2">
        <v>34.909090909090907</v>
      </c>
      <c r="L28" s="6" t="s">
        <v>31</v>
      </c>
      <c r="M28" s="2">
        <v>4.666666666666667</v>
      </c>
    </row>
    <row r="29" spans="3:13" x14ac:dyDescent="0.3">
      <c r="C29" s="6" t="s">
        <v>32</v>
      </c>
      <c r="D29">
        <v>15</v>
      </c>
      <c r="G29" s="6" t="s">
        <v>32</v>
      </c>
      <c r="H29" s="2">
        <v>35.133333333333333</v>
      </c>
      <c r="L29" s="6" t="s">
        <v>32</v>
      </c>
      <c r="M29" s="2">
        <v>4.5</v>
      </c>
    </row>
    <row r="30" spans="3:13" x14ac:dyDescent="0.3">
      <c r="C30" s="6" t="s">
        <v>33</v>
      </c>
      <c r="D30">
        <v>13</v>
      </c>
      <c r="G30" s="6" t="s">
        <v>33</v>
      </c>
      <c r="H30" s="2">
        <v>35.07692307692308</v>
      </c>
      <c r="L30" s="6" t="s">
        <v>33</v>
      </c>
      <c r="M30" s="2">
        <v>6</v>
      </c>
    </row>
    <row r="31" spans="3:13" x14ac:dyDescent="0.3">
      <c r="C31" s="6" t="s">
        <v>34</v>
      </c>
      <c r="D31">
        <v>17</v>
      </c>
      <c r="G31" s="6" t="s">
        <v>34</v>
      </c>
      <c r="H31" s="2">
        <v>35.352941176470587</v>
      </c>
      <c r="L31" s="6" t="s">
        <v>34</v>
      </c>
      <c r="M31" s="2">
        <v>6.8888888888888893</v>
      </c>
    </row>
    <row r="32" spans="3:13" x14ac:dyDescent="0.3">
      <c r="C32" s="6" t="s">
        <v>35</v>
      </c>
      <c r="D32">
        <v>20</v>
      </c>
      <c r="G32" s="6" t="s">
        <v>35</v>
      </c>
      <c r="H32" s="2">
        <v>36.6</v>
      </c>
      <c r="L32" s="6" t="s">
        <v>35</v>
      </c>
      <c r="M32" s="2">
        <v>6.5714285714285712</v>
      </c>
    </row>
    <row r="33" spans="1:13" x14ac:dyDescent="0.3">
      <c r="C33" s="6" t="s">
        <v>36</v>
      </c>
      <c r="D33">
        <v>20</v>
      </c>
      <c r="G33" s="6" t="s">
        <v>36</v>
      </c>
      <c r="H33" s="2">
        <v>35.799999999999997</v>
      </c>
      <c r="L33" s="6" t="s">
        <v>36</v>
      </c>
      <c r="M33" s="2">
        <v>4.0999999999999996</v>
      </c>
    </row>
    <row r="34" spans="1:13" x14ac:dyDescent="0.3">
      <c r="C34" s="6" t="s">
        <v>37</v>
      </c>
      <c r="D34">
        <v>13</v>
      </c>
      <c r="G34" s="6" t="s">
        <v>37</v>
      </c>
      <c r="H34" s="2">
        <v>30.307692307692307</v>
      </c>
      <c r="L34" s="6" t="s">
        <v>37</v>
      </c>
      <c r="M34" s="2">
        <v>5</v>
      </c>
    </row>
    <row r="35" spans="1:13" x14ac:dyDescent="0.3">
      <c r="C35" s="6" t="s">
        <v>38</v>
      </c>
      <c r="D35">
        <v>16</v>
      </c>
      <c r="G35" s="6" t="s">
        <v>38</v>
      </c>
      <c r="H35" s="2">
        <v>42.75</v>
      </c>
      <c r="L35" s="6" t="s">
        <v>38</v>
      </c>
      <c r="M35" s="2">
        <v>5.4</v>
      </c>
    </row>
    <row r="36" spans="1:13" x14ac:dyDescent="0.3">
      <c r="C36" s="6" t="s">
        <v>6</v>
      </c>
      <c r="D36">
        <v>488</v>
      </c>
      <c r="G36" s="6" t="s">
        <v>6</v>
      </c>
      <c r="H36" s="2">
        <v>35.19877049180328</v>
      </c>
      <c r="L36" s="6" t="s">
        <v>6</v>
      </c>
      <c r="M36" s="2">
        <v>4.7876712328767121</v>
      </c>
    </row>
    <row r="44" spans="1:13" x14ac:dyDescent="0.3">
      <c r="A44" s="1" t="s">
        <v>5</v>
      </c>
      <c r="B44" t="s">
        <v>42</v>
      </c>
      <c r="C44" t="s">
        <v>45</v>
      </c>
    </row>
    <row r="45" spans="1:13" x14ac:dyDescent="0.3">
      <c r="A45" s="6" t="s">
        <v>43</v>
      </c>
      <c r="B45" s="2">
        <v>266</v>
      </c>
      <c r="C45" s="7">
        <v>0.54508196721311475</v>
      </c>
    </row>
    <row r="46" spans="1:13" x14ac:dyDescent="0.3">
      <c r="A46" s="6" t="s">
        <v>44</v>
      </c>
      <c r="B46" s="2">
        <v>222</v>
      </c>
      <c r="C46" s="7">
        <v>0.45491803278688525</v>
      </c>
    </row>
    <row r="47" spans="1:13" x14ac:dyDescent="0.3">
      <c r="A47" s="6" t="s">
        <v>6</v>
      </c>
      <c r="B47" s="2">
        <v>488</v>
      </c>
      <c r="C47" s="7">
        <v>1</v>
      </c>
    </row>
    <row r="50" spans="1:6" x14ac:dyDescent="0.3">
      <c r="A50" s="9" t="s">
        <v>46</v>
      </c>
      <c r="B50" s="3" t="s">
        <v>77</v>
      </c>
      <c r="C50" s="3" t="s">
        <v>47</v>
      </c>
      <c r="D50" s="3"/>
    </row>
    <row r="51" spans="1:6" x14ac:dyDescent="0.3">
      <c r="A51" s="4" t="str">
        <f>A46</f>
        <v>Not Admitted</v>
      </c>
      <c r="B51" s="4">
        <f>B46</f>
        <v>222</v>
      </c>
      <c r="C51" s="10">
        <f>C46</f>
        <v>0.45491803278688525</v>
      </c>
      <c r="D51" s="4"/>
    </row>
    <row r="52" spans="1:6" x14ac:dyDescent="0.3">
      <c r="A52" s="4" t="str">
        <f>A45</f>
        <v>Admitted</v>
      </c>
      <c r="B52" s="4">
        <f>B45</f>
        <v>266</v>
      </c>
      <c r="C52" s="10">
        <f>C45</f>
        <v>0.54508196721311475</v>
      </c>
      <c r="D52" s="4"/>
    </row>
    <row r="55" spans="1:6" x14ac:dyDescent="0.3">
      <c r="A55" t="s">
        <v>57</v>
      </c>
      <c r="E55" t="s">
        <v>58</v>
      </c>
    </row>
    <row r="56" spans="1:6" x14ac:dyDescent="0.3">
      <c r="A56" s="1" t="s">
        <v>5</v>
      </c>
      <c r="B56" t="s">
        <v>56</v>
      </c>
      <c r="E56" s="1" t="s">
        <v>5</v>
      </c>
      <c r="F56" t="s">
        <v>61</v>
      </c>
    </row>
    <row r="57" spans="1:6" x14ac:dyDescent="0.3">
      <c r="A57" s="6" t="s">
        <v>48</v>
      </c>
      <c r="B57" s="8">
        <v>62</v>
      </c>
      <c r="E57" s="6" t="s">
        <v>59</v>
      </c>
      <c r="F57" s="8">
        <v>288</v>
      </c>
    </row>
    <row r="58" spans="1:6" x14ac:dyDescent="0.3">
      <c r="A58" s="6" t="s">
        <v>49</v>
      </c>
      <c r="B58" s="8">
        <v>73</v>
      </c>
      <c r="E58" s="6" t="s">
        <v>60</v>
      </c>
      <c r="F58" s="8">
        <v>200</v>
      </c>
    </row>
    <row r="59" spans="1:6" x14ac:dyDescent="0.3">
      <c r="A59" s="6" t="s">
        <v>50</v>
      </c>
      <c r="B59" s="8">
        <v>49</v>
      </c>
      <c r="E59" s="6" t="s">
        <v>6</v>
      </c>
      <c r="F59" s="8">
        <v>488</v>
      </c>
    </row>
    <row r="60" spans="1:6" x14ac:dyDescent="0.3">
      <c r="A60" s="6" t="s">
        <v>51</v>
      </c>
      <c r="B60" s="8">
        <v>44</v>
      </c>
    </row>
    <row r="61" spans="1:6" x14ac:dyDescent="0.3">
      <c r="A61" s="6" t="s">
        <v>52</v>
      </c>
      <c r="B61" s="8">
        <v>72</v>
      </c>
    </row>
    <row r="62" spans="1:6" x14ac:dyDescent="0.3">
      <c r="A62" s="6" t="s">
        <v>53</v>
      </c>
      <c r="B62" s="8">
        <v>71</v>
      </c>
    </row>
    <row r="63" spans="1:6" x14ac:dyDescent="0.3">
      <c r="A63" s="6" t="s">
        <v>54</v>
      </c>
      <c r="B63" s="8">
        <v>59</v>
      </c>
    </row>
    <row r="64" spans="1:6" x14ac:dyDescent="0.3">
      <c r="A64" s="6" t="s">
        <v>55</v>
      </c>
      <c r="B64" s="8">
        <v>58</v>
      </c>
    </row>
    <row r="65" spans="1:2" x14ac:dyDescent="0.3">
      <c r="A65" s="6" t="s">
        <v>6</v>
      </c>
      <c r="B65" s="8">
        <v>488</v>
      </c>
    </row>
    <row r="67" spans="1:2" x14ac:dyDescent="0.3">
      <c r="A67" s="6" t="s">
        <v>65</v>
      </c>
    </row>
    <row r="68" spans="1:2" x14ac:dyDescent="0.3">
      <c r="A68" s="1" t="s">
        <v>5</v>
      </c>
      <c r="B68" t="s">
        <v>64</v>
      </c>
    </row>
    <row r="69" spans="1:2" x14ac:dyDescent="0.3">
      <c r="A69" s="6" t="s">
        <v>62</v>
      </c>
      <c r="B69" s="8">
        <v>232</v>
      </c>
    </row>
    <row r="70" spans="1:2" x14ac:dyDescent="0.3">
      <c r="A70" s="6" t="s">
        <v>63</v>
      </c>
      <c r="B70" s="8">
        <v>256</v>
      </c>
    </row>
    <row r="71" spans="1:2" x14ac:dyDescent="0.3">
      <c r="A71" s="6" t="s">
        <v>6</v>
      </c>
      <c r="B71" s="8">
        <v>488</v>
      </c>
    </row>
    <row r="73" spans="1:2" x14ac:dyDescent="0.3">
      <c r="A73" s="6" t="s">
        <v>75</v>
      </c>
    </row>
    <row r="74" spans="1:2" x14ac:dyDescent="0.3">
      <c r="A74" s="1" t="s">
        <v>5</v>
      </c>
      <c r="B74" t="s">
        <v>74</v>
      </c>
    </row>
    <row r="75" spans="1:2" x14ac:dyDescent="0.3">
      <c r="A75" s="6" t="s">
        <v>73</v>
      </c>
      <c r="B75" s="8">
        <v>4</v>
      </c>
    </row>
    <row r="76" spans="1:2" x14ac:dyDescent="0.3">
      <c r="A76" s="6" t="s">
        <v>69</v>
      </c>
      <c r="B76" s="8">
        <v>7</v>
      </c>
    </row>
    <row r="77" spans="1:2" x14ac:dyDescent="0.3">
      <c r="A77" s="6" t="s">
        <v>66</v>
      </c>
      <c r="B77" s="8">
        <v>11</v>
      </c>
    </row>
    <row r="78" spans="1:2" x14ac:dyDescent="0.3">
      <c r="A78" s="6" t="s">
        <v>67</v>
      </c>
      <c r="B78" s="8">
        <v>11</v>
      </c>
    </row>
    <row r="79" spans="1:2" x14ac:dyDescent="0.3">
      <c r="A79" s="6" t="s">
        <v>72</v>
      </c>
      <c r="B79" s="8">
        <v>12</v>
      </c>
    </row>
    <row r="80" spans="1:2" x14ac:dyDescent="0.3">
      <c r="A80" s="6" t="s">
        <v>71</v>
      </c>
      <c r="B80" s="8">
        <v>60</v>
      </c>
    </row>
    <row r="81" spans="1:2" x14ac:dyDescent="0.3">
      <c r="A81" s="6" t="s">
        <v>68</v>
      </c>
      <c r="B81" s="8">
        <v>93</v>
      </c>
    </row>
    <row r="82" spans="1:2" x14ac:dyDescent="0.3">
      <c r="A82" s="6" t="s">
        <v>70</v>
      </c>
      <c r="B82" s="8">
        <v>290</v>
      </c>
    </row>
    <row r="83" spans="1:2" x14ac:dyDescent="0.3">
      <c r="A83" s="6" t="s">
        <v>6</v>
      </c>
      <c r="B83" s="8">
        <v>488</v>
      </c>
    </row>
    <row r="85" spans="1:2" x14ac:dyDescent="0.3">
      <c r="A85" s="6" t="s">
        <v>76</v>
      </c>
    </row>
    <row r="86" spans="1:2" x14ac:dyDescent="0.3">
      <c r="A86" s="1" t="s">
        <v>5</v>
      </c>
    </row>
    <row r="87" spans="1:2" x14ac:dyDescent="0.3">
      <c r="A87" s="6" t="s">
        <v>7</v>
      </c>
    </row>
    <row r="88" spans="1:2" x14ac:dyDescent="0.3">
      <c r="A88" s="6" t="s">
        <v>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2435-06C8-407C-A01B-64867ECE6BCC}">
  <dimension ref="A1:V35"/>
  <sheetViews>
    <sheetView workbookViewId="0">
      <selection activeCell="V11" sqref="V11"/>
    </sheetView>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row r="30" spans="1:22" x14ac:dyDescent="0.3">
      <c r="A30" s="5"/>
      <c r="B30" s="5"/>
      <c r="C30" s="5"/>
      <c r="D30" s="5"/>
      <c r="E30" s="5"/>
      <c r="F30" s="5"/>
      <c r="G30" s="5"/>
      <c r="H30" s="5"/>
      <c r="I30" s="5"/>
      <c r="J30" s="5"/>
      <c r="K30" s="5"/>
      <c r="L30" s="5"/>
      <c r="M30" s="5"/>
      <c r="N30" s="5"/>
      <c r="O30" s="5"/>
      <c r="P30" s="5"/>
      <c r="Q30" s="5"/>
      <c r="R30" s="5"/>
      <c r="S30" s="5"/>
      <c r="T30" s="5"/>
      <c r="U30" s="5"/>
      <c r="V30" s="5"/>
    </row>
    <row r="31" spans="1:22" x14ac:dyDescent="0.3">
      <c r="A31" s="5"/>
      <c r="B31" s="5"/>
      <c r="C31" s="5"/>
      <c r="D31" s="5"/>
      <c r="E31" s="5"/>
      <c r="F31" s="5"/>
      <c r="G31" s="5"/>
      <c r="H31" s="5"/>
      <c r="I31" s="5"/>
      <c r="J31" s="5"/>
      <c r="K31" s="5"/>
      <c r="L31" s="5"/>
      <c r="M31" s="5"/>
      <c r="N31" s="5"/>
      <c r="O31" s="5"/>
      <c r="P31" s="5"/>
      <c r="Q31" s="5"/>
      <c r="R31" s="5"/>
      <c r="S31" s="5"/>
      <c r="T31" s="5"/>
      <c r="U31" s="5"/>
      <c r="V31" s="5"/>
    </row>
    <row r="32" spans="1:22" x14ac:dyDescent="0.3">
      <c r="A32" s="5"/>
      <c r="B32" s="5"/>
      <c r="C32" s="5"/>
      <c r="D32" s="5"/>
      <c r="E32" s="5"/>
      <c r="F32" s="5"/>
      <c r="G32" s="5"/>
      <c r="H32" s="5"/>
      <c r="I32" s="5"/>
      <c r="J32" s="5"/>
      <c r="K32" s="5"/>
      <c r="L32" s="5"/>
      <c r="M32" s="5"/>
      <c r="N32" s="5"/>
      <c r="O32" s="5"/>
      <c r="P32" s="5"/>
      <c r="Q32" s="5"/>
      <c r="R32" s="5"/>
      <c r="S32" s="5"/>
      <c r="T32" s="5"/>
      <c r="U32" s="5"/>
      <c r="V32" s="5"/>
    </row>
    <row r="33" spans="1:22" x14ac:dyDescent="0.3">
      <c r="A33" s="5"/>
      <c r="B33" s="5"/>
      <c r="C33" s="5"/>
      <c r="D33" s="5"/>
      <c r="E33" s="5"/>
      <c r="F33" s="5"/>
      <c r="G33" s="5"/>
      <c r="H33" s="5"/>
      <c r="I33" s="5"/>
      <c r="J33" s="5"/>
      <c r="K33" s="5"/>
      <c r="L33" s="5"/>
      <c r="M33" s="5"/>
      <c r="N33" s="5"/>
      <c r="O33" s="5"/>
      <c r="P33" s="5"/>
      <c r="Q33" s="5"/>
      <c r="R33" s="5"/>
      <c r="S33" s="5"/>
      <c r="T33" s="5"/>
      <c r="U33" s="5"/>
      <c r="V33" s="5"/>
    </row>
    <row r="34" spans="1:22" x14ac:dyDescent="0.3">
      <c r="A34" s="5"/>
      <c r="B34" s="5"/>
      <c r="C34" s="5"/>
      <c r="D34" s="5"/>
      <c r="E34" s="5"/>
      <c r="F34" s="5"/>
      <c r="G34" s="5"/>
      <c r="H34" s="5"/>
      <c r="I34" s="5"/>
      <c r="J34" s="5"/>
      <c r="K34" s="5"/>
      <c r="L34" s="5"/>
      <c r="M34" s="5"/>
      <c r="N34" s="5"/>
      <c r="O34" s="5"/>
      <c r="P34" s="5"/>
      <c r="Q34" s="5"/>
      <c r="R34" s="5"/>
      <c r="S34" s="5"/>
      <c r="T34" s="5"/>
      <c r="U34" s="5"/>
      <c r="V34" s="5"/>
    </row>
    <row r="35" spans="1:22" x14ac:dyDescent="0.3">
      <c r="A35" s="5"/>
      <c r="B35" s="5"/>
      <c r="C35" s="5"/>
      <c r="D35" s="5"/>
      <c r="E35" s="5"/>
      <c r="F35" s="5"/>
      <c r="G35" s="5"/>
      <c r="H35" s="5"/>
      <c r="I35" s="5"/>
      <c r="J35" s="5"/>
      <c r="K35" s="5"/>
      <c r="L35" s="5"/>
      <c r="M35" s="5"/>
      <c r="N35" s="5"/>
      <c r="O35" s="5"/>
      <c r="P35" s="5"/>
      <c r="Q35" s="5"/>
      <c r="R35" s="5"/>
      <c r="S35" s="5"/>
      <c r="T35" s="5"/>
      <c r="U35" s="5"/>
      <c r="V35"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1F83-5FE5-4CCE-AB94-6712B80FE524}">
  <dimension ref="A1:BA62"/>
  <sheetViews>
    <sheetView workbookViewId="0">
      <selection activeCell="U11" sqref="U11"/>
    </sheetView>
  </sheetViews>
  <sheetFormatPr defaultRowHeight="14.4" x14ac:dyDescent="0.3"/>
  <sheetData>
    <row r="1" spans="1:53"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row>
    <row r="2" spans="1:53"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row>
    <row r="3" spans="1:53"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spans="1:53"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row>
    <row r="5" spans="1:53"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row>
    <row r="6" spans="1:53"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row>
    <row r="7" spans="1:53"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row>
    <row r="8" spans="1:53"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row>
    <row r="9" spans="1:53"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row>
    <row r="10" spans="1:53"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row>
    <row r="11" spans="1:53"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row>
    <row r="13" spans="1:53"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row>
    <row r="14" spans="1:53"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row>
    <row r="15" spans="1:53"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row>
    <row r="16" spans="1:53"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row>
    <row r="17" spans="1:53"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row>
    <row r="18" spans="1:53"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row>
    <row r="19" spans="1:53"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row>
    <row r="20" spans="1:53"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row>
    <row r="21" spans="1:53"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row>
    <row r="22" spans="1:53"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row>
    <row r="23" spans="1:53"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row>
    <row r="24" spans="1:53"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row>
    <row r="25" spans="1:53"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row>
    <row r="26" spans="1:53"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row>
    <row r="27" spans="1:53"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row>
    <row r="28" spans="1:53"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row>
    <row r="29" spans="1:53"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row>
    <row r="30" spans="1:53"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row>
    <row r="31" spans="1:53"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row>
    <row r="32" spans="1:53"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row>
    <row r="33" spans="1:53"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row>
    <row r="34" spans="1:53"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row>
    <row r="35" spans="1:53"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row>
    <row r="36" spans="1:53"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row>
    <row r="37" spans="1:53"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row>
    <row r="38" spans="1:53"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row>
    <row r="39" spans="1:53"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spans="1:53"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spans="1:53"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row>
    <row r="42" spans="1:53"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row>
    <row r="43" spans="1:53"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row>
    <row r="44" spans="1:53"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row>
    <row r="45" spans="1:53"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row>
    <row r="46" spans="1:53"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row>
    <row r="47" spans="1:53"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row>
    <row r="48" spans="1:53"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row>
    <row r="49" spans="1:53"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row>
    <row r="50" spans="1:53"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row>
    <row r="51" spans="1:53"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row>
    <row r="52" spans="1:53"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row>
    <row r="53" spans="1:53"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row>
    <row r="54" spans="1:53"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row>
    <row r="55" spans="1:53"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row>
    <row r="56" spans="1:53"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row>
    <row r="57" spans="1:53"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row>
    <row r="58" spans="1:53"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row>
    <row r="59" spans="1:53"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row>
    <row r="60" spans="1:53"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row>
    <row r="61" spans="1:53"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row>
    <row r="62" spans="1:53"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684D6-4296-4883-8B52-370BB1E95DA8}">
  <dimension ref="A1:X31"/>
  <sheetViews>
    <sheetView workbookViewId="0">
      <selection activeCell="V14" sqref="V14"/>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B146-F0C4-4B27-940B-D611BD49128E}">
  <dimension ref="A1:Q28"/>
  <sheetViews>
    <sheetView tabSelected="1" workbookViewId="0">
      <selection activeCell="V16" sqref="V16"/>
    </sheetView>
  </sheetViews>
  <sheetFormatPr defaultRowHeight="14.4" x14ac:dyDescent="0.3"/>
  <sheetData>
    <row r="1" spans="1:17" x14ac:dyDescent="0.3">
      <c r="A1" s="5"/>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5"/>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row r="26" spans="1:17" x14ac:dyDescent="0.3">
      <c r="A26" s="5"/>
      <c r="B26" s="5"/>
      <c r="C26" s="5"/>
      <c r="D26" s="5"/>
      <c r="E26" s="5"/>
      <c r="F26" s="5"/>
      <c r="G26" s="5"/>
      <c r="H26" s="5"/>
      <c r="I26" s="5"/>
      <c r="J26" s="5"/>
      <c r="K26" s="5"/>
      <c r="L26" s="5"/>
      <c r="M26" s="5"/>
      <c r="N26" s="5"/>
      <c r="O26" s="5"/>
      <c r="P26" s="5"/>
      <c r="Q26" s="5"/>
    </row>
    <row r="27" spans="1:17" x14ac:dyDescent="0.3">
      <c r="A27" s="5"/>
      <c r="B27" s="5"/>
      <c r="C27" s="5"/>
      <c r="D27" s="5"/>
      <c r="E27" s="5"/>
      <c r="F27" s="5"/>
      <c r="G27" s="5"/>
      <c r="H27" s="5"/>
      <c r="I27" s="5"/>
      <c r="J27" s="5"/>
      <c r="K27" s="5"/>
      <c r="L27" s="5"/>
      <c r="M27" s="5"/>
      <c r="N27" s="5"/>
      <c r="O27" s="5"/>
      <c r="P27" s="5"/>
      <c r="Q27" s="5"/>
    </row>
    <row r="28" spans="1:17" x14ac:dyDescent="0.3">
      <c r="A28" s="5"/>
      <c r="B28" s="5"/>
      <c r="C28" s="5"/>
      <c r="D28" s="5"/>
      <c r="E28" s="5"/>
      <c r="F28" s="5"/>
      <c r="G28" s="5"/>
      <c r="H28" s="5"/>
      <c r="I28" s="5"/>
      <c r="J28" s="5"/>
      <c r="K28" s="5"/>
      <c r="L28" s="5"/>
      <c r="M28" s="5"/>
      <c r="N28" s="5"/>
      <c r="O28" s="5"/>
      <c r="P28" s="5"/>
      <c r="Q28"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1CC1700-74CA-475C-8EF3-1E6CD8185EF5}">
  <ds:schemaRefs/>
</ds:datastoreItem>
</file>

<file path=customXml/itemProps2.xml><?xml version="1.0" encoding="utf-8"?>
<ds:datastoreItem xmlns:ds="http://schemas.openxmlformats.org/officeDocument/2006/customXml" ds:itemID="{BCD504B6-A23D-4F55-89BC-888400291FE1}">
  <ds:schemaRefs/>
</ds:datastoreItem>
</file>

<file path=customXml/itemProps3.xml><?xml version="1.0" encoding="utf-8"?>
<ds:datastoreItem xmlns:ds="http://schemas.openxmlformats.org/officeDocument/2006/customXml" ds:itemID="{E9400BA6-AA07-4038-81E2-27332D118F77}">
  <ds:schemaRefs/>
</ds:datastoreItem>
</file>

<file path=customXml/itemProps4.xml><?xml version="1.0" encoding="utf-8"?>
<ds:datastoreItem xmlns:ds="http://schemas.openxmlformats.org/officeDocument/2006/customXml" ds:itemID="{8F116643-3B0F-4701-B833-1239594EA0C4}">
  <ds:schemaRefs/>
</ds:datastoreItem>
</file>

<file path=customXml/itemProps5.xml><?xml version="1.0" encoding="utf-8"?>
<ds:datastoreItem xmlns:ds="http://schemas.openxmlformats.org/officeDocument/2006/customXml" ds:itemID="{6612E2D3-BF44-40C8-B923-88E169CC2B33}">
  <ds:schemaRefs/>
</ds:datastoreItem>
</file>

<file path=customXml/itemProps6.xml><?xml version="1.0" encoding="utf-8"?>
<ds:datastoreItem xmlns:ds="http://schemas.openxmlformats.org/officeDocument/2006/customXml" ds:itemID="{A4A5284F-9B91-4854-A806-A2F20B8D48B5}">
  <ds:schemaRefs/>
</ds:datastoreItem>
</file>

<file path=customXml/itemProps7.xml><?xml version="1.0" encoding="utf-8"?>
<ds:datastoreItem xmlns:ds="http://schemas.openxmlformats.org/officeDocument/2006/customXml" ds:itemID="{ABBC9BDE-88CE-4DD5-9CEB-0A1872A95E5E}">
  <ds:schemaRefs/>
</ds:datastoreItem>
</file>

<file path=customXml/itemProps8.xml><?xml version="1.0" encoding="utf-8"?>
<ds:datastoreItem xmlns:ds="http://schemas.openxmlformats.org/officeDocument/2006/customXml" ds:itemID="{F334A5C5-6A6D-47AB-9D08-0DE051D9309A}">
  <ds:schemaRefs/>
</ds:datastoreItem>
</file>

<file path=customXml/itemProps9.xml><?xml version="1.0" encoding="utf-8"?>
<ds:datastoreItem xmlns:ds="http://schemas.openxmlformats.org/officeDocument/2006/customXml" ds:itemID="{482F61B3-88BA-4219-8A87-A8168CDD5074}">
  <ds:schemaRefs/>
</ds:datastoreItem>
</file>

<file path=customXml/itemProps10.xml><?xml version="1.0" encoding="utf-8"?>
<ds:datastoreItem xmlns:ds="http://schemas.openxmlformats.org/officeDocument/2006/customXml" ds:itemID="{FBCB9682-D23C-4FAE-8D74-25A95CC0A27F}">
  <ds:schemaRefs>
    <ds:schemaRef ds:uri="http://schemas.microsoft.com/DataMashup"/>
  </ds:schemaRefs>
</ds:datastoreItem>
</file>

<file path=customXml/itemProps11.xml><?xml version="1.0" encoding="utf-8"?>
<ds:datastoreItem xmlns:ds="http://schemas.openxmlformats.org/officeDocument/2006/customXml" ds:itemID="{84D55A0F-CE93-4BC6-8532-BCEBF4E77392}">
  <ds:schemaRefs/>
</ds:datastoreItem>
</file>

<file path=customXml/itemProps12.xml><?xml version="1.0" encoding="utf-8"?>
<ds:datastoreItem xmlns:ds="http://schemas.openxmlformats.org/officeDocument/2006/customXml" ds:itemID="{E2207CD7-3E52-491F-A249-A89E644A72CD}">
  <ds:schemaRefs/>
</ds:datastoreItem>
</file>

<file path=customXml/itemProps13.xml><?xml version="1.0" encoding="utf-8"?>
<ds:datastoreItem xmlns:ds="http://schemas.openxmlformats.org/officeDocument/2006/customXml" ds:itemID="{AE661556-166C-4835-A739-12FD1E09E0E8}">
  <ds:schemaRefs/>
</ds:datastoreItem>
</file>

<file path=customXml/itemProps14.xml><?xml version="1.0" encoding="utf-8"?>
<ds:datastoreItem xmlns:ds="http://schemas.openxmlformats.org/officeDocument/2006/customXml" ds:itemID="{0C325084-EAF0-4307-B617-1FED95867E36}">
  <ds:schemaRefs/>
</ds:datastoreItem>
</file>

<file path=customXml/itemProps15.xml><?xml version="1.0" encoding="utf-8"?>
<ds:datastoreItem xmlns:ds="http://schemas.openxmlformats.org/officeDocument/2006/customXml" ds:itemID="{D97530F2-11C3-4E95-88B5-95523F4F0E91}">
  <ds:schemaRefs/>
</ds:datastoreItem>
</file>

<file path=customXml/itemProps16.xml><?xml version="1.0" encoding="utf-8"?>
<ds:datastoreItem xmlns:ds="http://schemas.openxmlformats.org/officeDocument/2006/customXml" ds:itemID="{D429DDFB-5E42-4CED-ABFB-0C5DD301CBA4}">
  <ds:schemaRefs/>
</ds:datastoreItem>
</file>

<file path=customXml/itemProps17.xml><?xml version="1.0" encoding="utf-8"?>
<ds:datastoreItem xmlns:ds="http://schemas.openxmlformats.org/officeDocument/2006/customXml" ds:itemID="{9B034FE1-54BB-41AE-BBDC-F4022AECCE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Daily ER No. of patients</vt:lpstr>
      <vt:lpstr>Dashboard</vt:lpstr>
      <vt:lpstr>Average satisfaction score</vt:lpstr>
      <vt:lpstr>Average Wait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 sundvesa</dc:creator>
  <cp:lastModifiedBy>lalit sundvesa</cp:lastModifiedBy>
  <dcterms:created xsi:type="dcterms:W3CDTF">2025-12-06T06:39:45Z</dcterms:created>
  <dcterms:modified xsi:type="dcterms:W3CDTF">2026-02-24T16:12:28Z</dcterms:modified>
</cp:coreProperties>
</file>